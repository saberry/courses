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ropbox\MGT 40750 Spring 2016\2. Process Simulation\"/>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<sst xmlns="http://schemas.openxmlformats.org/spreadsheetml/2006/main" count="2712" uniqueCount="202">
  <si>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</si>
  <si>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</si>
  <si>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</si>
  <si>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</si>
  <si>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</si>
  <si>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</si>
  <si>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</si>
  <si>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</si>
  <si>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</si>
  <si>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</si>
  <si>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</si>
  <si>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</si>
  <si>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</si>
  <si>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</si>
  <si>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</si>
  <si>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</si>
  <si>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</si>
  <si>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</si>
  <si>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</si>
  <si>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</si>
  <si>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</si>
  <si>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</si>
  <si>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</si>
  <si>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</si>
  <si>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</si>
  <si>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</si>
  <si>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</si>
  <si>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</si>
  <si>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</si>
  <si>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</si>
  <si>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</si>
  <si>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</si>
  <si>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</si>
  <si>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</si>
  <si>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</si>
  <si>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</si>
  <si>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</si>
  <si>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</si>
  <si>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</si>
  <si>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</si>
  <si>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</si>
  <si>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</si>
  <si>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</si>
  <si>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</si>
  <si>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</si>
  <si>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</si>
  <si>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</si>
  <si>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</si>
  <si>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</si>
  <si>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</si>
  <si>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</si>
  <si>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</si>
  <si>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</si>
  <si>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</si>
  <si>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</si>
  <si>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</si>
  <si>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</si>
  <si>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</si>
  <si>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</si>
  <si>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</si>
  <si>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</si>
  <si>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</si>
  <si>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</si>
  <si>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</si>
  <si>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</si>
  <si>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</si>
  <si>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</si>
  <si>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</si>
  <si>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</si>
  <si>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</si>
  <si>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</si>
  <si>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</si>
  <si>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</si>
  <si>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</si>
  <si>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</si>
  <si>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</si>
  <si>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</si>
  <si>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</si>
  <si>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</si>
  <si>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</si>
  <si>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</si>
  <si>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</si>
  <si>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</si>
  <si>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</si>
  <si>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</si>
  <si>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</si>
  <si>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</si>
  <si>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</si>
  <si>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</si>
  <si>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</si>
  <si>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</si>
  <si>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</si>
  <si>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</si>
  <si>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</si>
  <si>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</si>
  <si>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</si>
  <si>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</si>
  <si>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</si>
  <si>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</si>
  <si>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</si>
  <si>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</si>
  <si>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</si>
  <si>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</si>
  <si>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</si>
  <si>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</si>
  <si>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</si>
  <si>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</si>
  <si>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</si>
  <si>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</si>
  <si>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</si>
  <si>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</si>
  <si>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</si>
  <si>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</si>
  <si>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</si>
  <si>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</si>
  <si>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</si>
  <si>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</si>
  <si>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</si>
  <si>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</si>
  <si>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</si>
  <si>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</si>
  <si>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</si>
  <si>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</si>
  <si>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</si>
  <si>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</si>
  <si>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</si>
  <si>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</si>
  <si>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</si>
  <si>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</si>
  <si>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</si>
  <si>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</si>
  <si>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</si>
  <si>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</si>
  <si>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</si>
  <si>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</si>
  <si>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</si>
  <si>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</si>
  <si>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</si>
  <si>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</si>
  <si>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</si>
  <si>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</si>
  <si>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</si>
  <si>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</si>
  <si>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</si>
  <si>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</si>
  <si>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</si>
  <si>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</si>
  <si>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</si>
  <si>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</si>
  <si>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</si>
  <si>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</si>
  <si>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</si>
  <si>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</si>
  <si>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</si>
  <si>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</si>
  <si>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</si>
  <si>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</si>
  <si>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Work Station</t>
  </si>
  <si>
    <t>© David Hartvigsen 2016</t>
  </si>
  <si>
    <t>Overall</t>
  </si>
  <si>
    <t>Means</t>
  </si>
  <si>
    <t>Arrivals</t>
  </si>
  <si>
    <t>Exp(.5)</t>
  </si>
  <si>
    <t>Line 1</t>
  </si>
  <si>
    <t>Insp 1</t>
  </si>
  <si>
    <t>Insp 2</t>
  </si>
  <si>
    <t>Line 2</t>
  </si>
  <si>
    <t>Add Insp 1</t>
  </si>
  <si>
    <t>Add Insp 2</t>
  </si>
  <si>
    <t>Done</t>
  </si>
  <si>
    <t>Nor(1,.1)</t>
  </si>
  <si>
    <t>Decision</t>
  </si>
  <si>
    <t>Decision Point</t>
  </si>
  <si>
    <t>Simulation Numbers</t>
  </si>
  <si>
    <t>Entrance(s)</t>
  </si>
  <si>
    <t>Objects entering process</t>
  </si>
  <si>
    <t>Objects unable to enter</t>
  </si>
  <si>
    <t>Service level</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</si>
  <si>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</si>
  <si>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</si>
  <si>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</si>
  <si>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</si>
  <si>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</si>
  <si>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</si>
  <si>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</si>
  <si>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</si>
  <si>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</si>
  <si>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</si>
  <si>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</si>
  <si>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</si>
  <si>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</si>
  <si>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</si>
  <si>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</si>
  <si>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Decision Point(s)</t>
  </si>
  <si>
    <t>Working</t>
  </si>
  <si>
    <t>Infinite</t>
  </si>
  <si>
    <t>Not Working</t>
  </si>
  <si>
    <t>NA</t>
  </si>
  <si>
    <t>Entrances:</t>
  </si>
  <si>
    <t>Work Stations:</t>
  </si>
  <si>
    <t>Buffers:</t>
  </si>
  <si>
    <t>Decision Points: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</si>
</sst>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90">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2" fillId="3" borderId="12" xfId="0" applyFont="1" applyFill="1" applyBorder="1"/>
    <xf numFmtId="0" fontId="1" fillId="0" borderId="0" xfId="0" applyFont="1"/>
    <xf numFmtId="2" fontId="0" fillId="0" borderId="0" xfId="0" applyNumberFormat="1"/>
    <xf numFmtId="2" fontId="0" fillId="0" borderId="0" xfId="0" applyNumberFormat="1" applyAlignment="1">
      <alignment horizontal="right"/>
    </xf>
    <xf numFmtId="0" fontId="5" fillId="0" borderId="10" xfId="0" applyFont="1" applyFill="1" applyBorder="1"/>
    <xf numFmtId="0" fontId="0" fillId="0" borderId="10" xfId="0" applyFill="1" applyBorder="1"/>
    <xf numFmtId="2" fontId="0" fillId="0" borderId="10" xfId="0" applyNumberFormat="1" applyFill="1" applyBorder="1"/>
    <xf numFmtId="2" fontId="0" fillId="0" borderId="10" xfId="0" applyNumberFormat="1" applyFill="1" applyBorder="1" applyAlignment="1">
      <alignment horizontal="right"/>
    </xf>
    <xf numFmtId="0" fontId="0" fillId="0" borderId="1" xfId="0" applyFill="1" applyBorder="1"/>
    <xf numFmtId="0" fontId="0" fillId="0" borderId="2" xfId="0" applyFill="1" applyBorder="1"/>
    <xf numFmtId="0" fontId="0" fillId="0" borderId="0" xfId="0" applyAlignment="1">
      <alignment horizontal="right"/>
    </xf>
    <xf numFmtId="0" fontId="2" fillId="0" borderId="14" xfId="0" applyFont="1" applyFill="1" applyBorder="1" applyAlignment="1">
      <alignment horizontal="center"/>
    </xf>
    <xf numFmtId="0" fontId="0" fillId="0" borderId="4" xfId="0" applyFill="1" applyBorder="1" applyAlignment="1">
      <alignment horizontal="center"/>
    </xf>
    <xf numFmtId="0" fontId="2" fillId="0" borderId="9" xfId="0" applyFont="1" applyFill="1" applyBorder="1" applyAlignment="1">
      <alignment horizontal="center"/>
    </xf>
    <xf numFmtId="0" fontId="2" fillId="0" borderId="8" xfId="0" applyFont="1"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8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9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3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3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428625</xdr:colOff>
      <xdr:row>4</xdr:row>
      <xdr:rowOff>66675</xdr:rowOff>
    </xdr:from>
    <xdr:to>
      <xdr:col>11</xdr:col>
      <xdr:colOff>504825</xdr:colOff>
      <xdr:row>11</xdr:row>
      <xdr:rowOff>152400</xdr:rowOff>
    </xdr:to>
    <xdr:sp macro="" textlink="">
      <xdr:nvSpPr>
        <xdr:cNvPr id="10242" name="Text 2"/>
        <xdr:cNvSpPr txBox="1">
          <a:spLocks noChangeArrowheads="1"/>
        </xdr:cNvSpPr>
      </xdr:nvSpPr>
      <xdr:spPr bwMode="auto">
        <a:xfrm>
          <a:off x="7229475" y="723900"/>
          <a:ext cx="1295400" cy="13049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600075</xdr:colOff>
      <xdr:row>7</xdr:row>
      <xdr:rowOff>142875</xdr:rowOff>
    </xdr:from>
    <xdr:to>
      <xdr:col>9</xdr:col>
      <xdr:colOff>257175</xdr:colOff>
      <xdr:row>9</xdr:row>
      <xdr:rowOff>76200</xdr:rowOff>
    </xdr:to>
    <xdr:sp macro="" textlink="">
      <xdr:nvSpPr>
        <xdr:cNvPr id="360517" name="Line 3"/>
        <xdr:cNvSpPr>
          <a:spLocks noChangeShapeType="1"/>
        </xdr:cNvSpPr>
      </xdr:nvSpPr>
      <xdr:spPr bwMode="auto">
        <a:xfrm flipH="1">
          <a:off x="6505575" y="1362075"/>
          <a:ext cx="55245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twoCellAnchor>
    <xdr:from>
      <xdr:col>1</xdr:col>
      <xdr:colOff>85725</xdr:colOff>
      <xdr:row>22</xdr:row>
      <xdr:rowOff>19051</xdr:rowOff>
    </xdr:from>
    <xdr:to>
      <xdr:col>2</xdr:col>
      <xdr:colOff>771525</xdr:colOff>
      <xdr:row>28</xdr:row>
      <xdr:rowOff>1</xdr:rowOff>
    </xdr:to>
    <xdr:sp macro="" textlink="">
      <xdr:nvSpPr>
        <xdr:cNvPr id="7" name="Text 2"/>
        <xdr:cNvSpPr txBox="1">
          <a:spLocks noChangeArrowheads="1"/>
        </xdr:cNvSpPr>
      </xdr:nvSpPr>
      <xdr:spPr bwMode="auto">
        <a:xfrm>
          <a:off x="695325" y="3695701"/>
          <a:ext cx="1295400" cy="952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Indicate here whether you want SimQuick to keep track of the number of objects in this Buffer.</a:t>
          </a:r>
        </a:p>
      </xdr:txBody>
    </xdr:sp>
    <xdr:clientData/>
  </xdr:twoCellAnchor>
  <xdr:twoCellAnchor>
    <xdr:from>
      <xdr:col>2</xdr:col>
      <xdr:colOff>904875</xdr:colOff>
      <xdr:row>20</xdr:row>
      <xdr:rowOff>95250</xdr:rowOff>
    </xdr:from>
    <xdr:to>
      <xdr:col>3</xdr:col>
      <xdr:colOff>200025</xdr:colOff>
      <xdr:row>23</xdr:row>
      <xdr:rowOff>76200</xdr:rowOff>
    </xdr:to>
    <xdr:sp macro="" textlink="">
      <xdr:nvSpPr>
        <xdr:cNvPr id="360519" name="Line 3"/>
        <xdr:cNvSpPr>
          <a:spLocks noChangeShapeType="1"/>
        </xdr:cNvSpPr>
      </xdr:nvSpPr>
      <xdr:spPr bwMode="auto">
        <a:xfrm flipV="1">
          <a:off x="2124075" y="3448050"/>
          <a:ext cx="352425"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125</v>
      </c>
      <c r="C4" s="135"/>
      <c r="D4" s="135"/>
      <c r="E4" s="135"/>
      <c r="F4" s="136"/>
      <c r="G4" s="153" t="s">
        <v>126</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937"/>
  <sheetViews>
    <sheetView workbookViewId="0">
      <selection activeCell="E1" sqref="E1"/>
    </sheetView>
  </sheetViews>
  <sheetFormatPr defaultRowHeight="12.75" x14ac:dyDescent="0.2"/>
  <cols>
    <col min="1" max="1" width="8.28515625" style="89" customWidth="1"/>
    <col min="2" max="2" width="27" style="89" bestFit="1" customWidth="1"/>
    <col min="3" max="3" width="14.42578125" style="89" bestFit="1" customWidth="1"/>
    <col min="4" max="4" width="9.855468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139</v>
      </c>
      <c r="C6" s="18">
        <v>120</v>
      </c>
      <c r="D6"/>
      <c r="E6"/>
      <c r="F6"/>
      <c r="G6"/>
      <c r="H6"/>
      <c r="I6"/>
      <c r="J6"/>
    </row>
    <row r="7" spans="1:10" ht="13.5" thickBot="1" x14ac:dyDescent="0.25">
      <c r="A7"/>
      <c r="B7" s="168" t="s">
        <v>140</v>
      </c>
      <c r="C7" s="18">
        <v>100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76" t="s">
        <v>198</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69" t="s">
        <v>141</v>
      </c>
      <c r="C13" s="124" t="s">
        <v>161</v>
      </c>
      <c r="D13"/>
      <c r="E13"/>
      <c r="F13"/>
      <c r="G13"/>
      <c r="H13"/>
      <c r="I13"/>
      <c r="J13"/>
    </row>
    <row r="14" spans="1:10" x14ac:dyDescent="0.2">
      <c r="A14"/>
      <c r="B14" s="170" t="s">
        <v>142</v>
      </c>
      <c r="C14" s="116" t="s">
        <v>162</v>
      </c>
      <c r="D14"/>
      <c r="E14"/>
      <c r="F14"/>
      <c r="G14"/>
      <c r="H14"/>
      <c r="I14"/>
      <c r="J14"/>
    </row>
    <row r="15" spans="1:10" ht="13.5" thickBot="1" x14ac:dyDescent="0.25">
      <c r="A15"/>
      <c r="B15" s="171" t="s">
        <v>143</v>
      </c>
      <c r="C15" s="37">
        <v>1</v>
      </c>
      <c r="D15"/>
      <c r="E15"/>
      <c r="F15"/>
      <c r="G15"/>
      <c r="H15"/>
      <c r="I15"/>
      <c r="J15"/>
    </row>
    <row r="16" spans="1:10" x14ac:dyDescent="0.2">
      <c r="A16"/>
      <c r="B16" s="39" t="s">
        <v>10</v>
      </c>
      <c r="C16" s="40"/>
      <c r="D16"/>
      <c r="E16"/>
      <c r="F16"/>
      <c r="G16"/>
      <c r="H16"/>
      <c r="I16"/>
      <c r="J16"/>
    </row>
    <row r="17" spans="1:10" ht="13.5" thickBot="1" x14ac:dyDescent="0.25">
      <c r="A17"/>
      <c r="B17" s="146" t="s">
        <v>144</v>
      </c>
      <c r="C17" s="42"/>
      <c r="D17"/>
      <c r="E17"/>
      <c r="F17"/>
      <c r="G17"/>
      <c r="H17"/>
      <c r="I17"/>
      <c r="J17"/>
    </row>
    <row r="18" spans="1:10" x14ac:dyDescent="0.2">
      <c r="A18"/>
      <c r="B18" s="108" t="s">
        <v>163</v>
      </c>
      <c r="C18" s="74"/>
      <c r="D18"/>
      <c r="E18"/>
      <c r="F18"/>
      <c r="G18"/>
      <c r="H18"/>
      <c r="I18"/>
      <c r="J18"/>
    </row>
    <row r="19" spans="1:10" ht="13.5" thickBot="1" x14ac:dyDescent="0.25">
      <c r="A19"/>
      <c r="B19" s="186"/>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76" t="s">
        <v>199</v>
      </c>
      <c r="C22"/>
      <c r="D22"/>
      <c r="E22"/>
      <c r="F22"/>
      <c r="G22"/>
      <c r="H22"/>
      <c r="I22"/>
      <c r="J22"/>
    </row>
    <row r="23" spans="1:10" x14ac:dyDescent="0.2">
      <c r="A23"/>
      <c r="B23"/>
      <c r="C23"/>
      <c r="D23"/>
      <c r="E23"/>
      <c r="F23"/>
      <c r="G23"/>
      <c r="H23"/>
      <c r="I23"/>
      <c r="J23"/>
    </row>
    <row r="24" spans="1:10" ht="13.5" thickBot="1" x14ac:dyDescent="0.25">
      <c r="A24"/>
      <c r="B24" s="42"/>
      <c r="C24" s="48">
        <v>1</v>
      </c>
      <c r="D24" s="48"/>
      <c r="E24" s="33"/>
      <c r="F24"/>
      <c r="G24"/>
      <c r="H24"/>
      <c r="I24"/>
      <c r="J24"/>
    </row>
    <row r="25" spans="1:10" ht="18.75" x14ac:dyDescent="0.3">
      <c r="A25"/>
      <c r="B25" s="49"/>
      <c r="C25" s="118" t="s">
        <v>141</v>
      </c>
      <c r="D25" s="104" t="s">
        <v>164</v>
      </c>
      <c r="E25" s="42"/>
      <c r="F25"/>
      <c r="G25"/>
      <c r="H25"/>
      <c r="I25"/>
      <c r="J25"/>
    </row>
    <row r="26" spans="1:10" ht="13.5" thickBot="1" x14ac:dyDescent="0.25">
      <c r="A26"/>
      <c r="B26" s="42"/>
      <c r="C26" s="172" t="s">
        <v>147</v>
      </c>
      <c r="D26" s="116" t="s">
        <v>170</v>
      </c>
      <c r="E26" s="42"/>
      <c r="F26"/>
      <c r="G26"/>
      <c r="H26"/>
      <c r="I26"/>
      <c r="J26"/>
    </row>
    <row r="27" spans="1:10" x14ac:dyDescent="0.2">
      <c r="A27"/>
      <c r="B27" s="39" t="s">
        <v>10</v>
      </c>
      <c r="C27" s="6" t="s">
        <v>17</v>
      </c>
      <c r="D27" s="165" t="s">
        <v>18</v>
      </c>
      <c r="E27" s="39" t="s">
        <v>18</v>
      </c>
      <c r="F27"/>
      <c r="G27"/>
      <c r="H27"/>
      <c r="I27"/>
      <c r="J27"/>
    </row>
    <row r="28" spans="1:10" ht="13.5" thickBot="1" x14ac:dyDescent="0.25">
      <c r="A28"/>
      <c r="B28" s="146" t="s">
        <v>144</v>
      </c>
      <c r="C28" s="173" t="s">
        <v>148</v>
      </c>
      <c r="D28" s="174" t="s">
        <v>149</v>
      </c>
      <c r="E28" s="146" t="s">
        <v>150</v>
      </c>
      <c r="F28"/>
      <c r="G28"/>
      <c r="H28"/>
      <c r="I28"/>
      <c r="J28"/>
    </row>
    <row r="29" spans="1:10" x14ac:dyDescent="0.2">
      <c r="A29"/>
      <c r="B29" s="107" t="s">
        <v>171</v>
      </c>
      <c r="C29" s="104">
        <v>1</v>
      </c>
      <c r="D29" s="54"/>
      <c r="E29" s="53"/>
      <c r="F29"/>
      <c r="G29"/>
      <c r="H29"/>
      <c r="I29"/>
      <c r="J29"/>
    </row>
    <row r="30" spans="1:10" ht="13.5" thickBot="1" x14ac:dyDescent="0.25">
      <c r="A30"/>
      <c r="B30" s="186"/>
      <c r="C30" s="60"/>
      <c r="D30" s="187"/>
      <c r="E30" s="60"/>
      <c r="F30"/>
      <c r="G30"/>
      <c r="H30"/>
      <c r="I30"/>
      <c r="J30"/>
    </row>
    <row r="31" spans="1:10" x14ac:dyDescent="0.2">
      <c r="A31"/>
      <c r="B31"/>
      <c r="C31"/>
      <c r="D31"/>
      <c r="E31"/>
      <c r="F31"/>
      <c r="G31"/>
      <c r="H31"/>
      <c r="I31"/>
      <c r="J31"/>
    </row>
    <row r="32" spans="1:10" ht="13.5" thickBot="1" x14ac:dyDescent="0.25">
      <c r="A32"/>
      <c r="B32" s="42"/>
      <c r="C32" s="48">
        <v>2</v>
      </c>
      <c r="D32" s="48"/>
      <c r="E32" s="33"/>
      <c r="F32"/>
      <c r="G32"/>
      <c r="H32"/>
      <c r="I32"/>
      <c r="J32"/>
    </row>
    <row r="33" spans="1:10" ht="18.75" x14ac:dyDescent="0.3">
      <c r="A33"/>
      <c r="B33" s="49"/>
      <c r="C33" s="118" t="s">
        <v>141</v>
      </c>
      <c r="D33" s="104" t="s">
        <v>165</v>
      </c>
      <c r="E33" s="42"/>
      <c r="F33"/>
      <c r="G33"/>
      <c r="H33"/>
      <c r="I33"/>
      <c r="J33"/>
    </row>
    <row r="34" spans="1:10" ht="13.5" thickBot="1" x14ac:dyDescent="0.25">
      <c r="A34"/>
      <c r="B34" s="42"/>
      <c r="C34" s="172" t="s">
        <v>147</v>
      </c>
      <c r="D34" s="116" t="s">
        <v>170</v>
      </c>
      <c r="E34" s="42"/>
      <c r="F34"/>
      <c r="G34"/>
      <c r="H34"/>
      <c r="I34"/>
      <c r="J34"/>
    </row>
    <row r="35" spans="1:10" x14ac:dyDescent="0.2">
      <c r="A35"/>
      <c r="B35" s="39" t="s">
        <v>10</v>
      </c>
      <c r="C35" s="6" t="s">
        <v>17</v>
      </c>
      <c r="D35" s="165" t="s">
        <v>18</v>
      </c>
      <c r="E35" s="39" t="s">
        <v>18</v>
      </c>
      <c r="F35"/>
      <c r="G35"/>
      <c r="H35"/>
      <c r="I35"/>
      <c r="J35"/>
    </row>
    <row r="36" spans="1:10" ht="13.5" thickBot="1" x14ac:dyDescent="0.25">
      <c r="A36"/>
      <c r="B36" s="146" t="s">
        <v>144</v>
      </c>
      <c r="C36" s="173" t="s">
        <v>148</v>
      </c>
      <c r="D36" s="174" t="s">
        <v>149</v>
      </c>
      <c r="E36" s="146" t="s">
        <v>150</v>
      </c>
      <c r="F36"/>
      <c r="G36"/>
      <c r="H36"/>
      <c r="I36"/>
      <c r="J36"/>
    </row>
    <row r="37" spans="1:10" x14ac:dyDescent="0.2">
      <c r="A37"/>
      <c r="B37" s="107" t="s">
        <v>171</v>
      </c>
      <c r="C37" s="104">
        <v>1</v>
      </c>
      <c r="D37" s="54"/>
      <c r="E37" s="53"/>
      <c r="F37"/>
      <c r="G37"/>
      <c r="H37"/>
      <c r="I37"/>
      <c r="J37"/>
    </row>
    <row r="38" spans="1:10" ht="13.5" thickBot="1" x14ac:dyDescent="0.25">
      <c r="A38"/>
      <c r="B38" s="186"/>
      <c r="C38" s="60"/>
      <c r="D38" s="187"/>
      <c r="E38" s="60"/>
      <c r="F38"/>
      <c r="G38"/>
      <c r="H38"/>
      <c r="I38"/>
      <c r="J38"/>
    </row>
    <row r="39" spans="1:10" x14ac:dyDescent="0.2">
      <c r="A39"/>
      <c r="B39"/>
      <c r="C39"/>
      <c r="D39"/>
      <c r="E39"/>
      <c r="F39"/>
      <c r="G39"/>
      <c r="H39"/>
      <c r="I39"/>
      <c r="J39"/>
    </row>
    <row r="40" spans="1:10" ht="13.5" thickBot="1" x14ac:dyDescent="0.25">
      <c r="A40"/>
      <c r="B40" s="42"/>
      <c r="C40" s="48">
        <v>3</v>
      </c>
      <c r="D40" s="48"/>
      <c r="E40" s="33"/>
      <c r="F40"/>
      <c r="G40"/>
      <c r="H40"/>
      <c r="I40"/>
      <c r="J40"/>
    </row>
    <row r="41" spans="1:10" ht="18.75" x14ac:dyDescent="0.3">
      <c r="A41"/>
      <c r="B41" s="49"/>
      <c r="C41" s="118" t="s">
        <v>141</v>
      </c>
      <c r="D41" s="104" t="s">
        <v>167</v>
      </c>
      <c r="E41" s="42"/>
      <c r="F41"/>
      <c r="G41"/>
      <c r="H41"/>
      <c r="I41"/>
      <c r="J41"/>
    </row>
    <row r="42" spans="1:10" ht="13.5" thickBot="1" x14ac:dyDescent="0.25">
      <c r="A42"/>
      <c r="B42" s="42"/>
      <c r="C42" s="172" t="s">
        <v>147</v>
      </c>
      <c r="D42" s="116" t="s">
        <v>32</v>
      </c>
      <c r="E42" s="42"/>
      <c r="F42"/>
      <c r="G42"/>
      <c r="H42"/>
      <c r="I42"/>
      <c r="J42"/>
    </row>
    <row r="43" spans="1:10" x14ac:dyDescent="0.2">
      <c r="A43"/>
      <c r="B43" s="39" t="s">
        <v>10</v>
      </c>
      <c r="C43" s="6" t="s">
        <v>17</v>
      </c>
      <c r="D43" s="165" t="s">
        <v>18</v>
      </c>
      <c r="E43" s="39" t="s">
        <v>18</v>
      </c>
      <c r="F43"/>
      <c r="G43"/>
      <c r="H43"/>
      <c r="I43"/>
      <c r="J43"/>
    </row>
    <row r="44" spans="1:10" ht="13.5" thickBot="1" x14ac:dyDescent="0.25">
      <c r="A44"/>
      <c r="B44" s="146" t="s">
        <v>144</v>
      </c>
      <c r="C44" s="173" t="s">
        <v>148</v>
      </c>
      <c r="D44" s="174" t="s">
        <v>149</v>
      </c>
      <c r="E44" s="146" t="s">
        <v>150</v>
      </c>
      <c r="F44"/>
      <c r="G44"/>
      <c r="H44"/>
      <c r="I44"/>
      <c r="J44"/>
    </row>
    <row r="45" spans="1:10" x14ac:dyDescent="0.2">
      <c r="A45"/>
      <c r="B45" s="107" t="s">
        <v>169</v>
      </c>
      <c r="C45" s="104">
        <v>1</v>
      </c>
      <c r="D45" s="54"/>
      <c r="E45" s="53"/>
      <c r="F45"/>
      <c r="G45"/>
      <c r="H45"/>
      <c r="I45"/>
      <c r="J45"/>
    </row>
    <row r="46" spans="1:10" ht="13.5" thickBot="1" x14ac:dyDescent="0.25">
      <c r="A46"/>
      <c r="B46" s="186"/>
      <c r="C46" s="60"/>
      <c r="D46" s="187"/>
      <c r="E46" s="60"/>
      <c r="F46"/>
      <c r="G46"/>
      <c r="H46"/>
      <c r="I46"/>
      <c r="J46"/>
    </row>
    <row r="47" spans="1:10" x14ac:dyDescent="0.2">
      <c r="A47"/>
      <c r="B47"/>
      <c r="C47"/>
      <c r="D47"/>
      <c r="E47"/>
      <c r="F47"/>
      <c r="G47"/>
      <c r="H47"/>
      <c r="I47"/>
      <c r="J47"/>
    </row>
    <row r="48" spans="1:10" ht="13.5" thickBot="1" x14ac:dyDescent="0.25">
      <c r="A48"/>
      <c r="B48" s="48"/>
      <c r="C48" s="48">
        <v>4</v>
      </c>
      <c r="D48" s="48"/>
      <c r="E48" s="33"/>
      <c r="F48"/>
      <c r="G48"/>
      <c r="H48"/>
      <c r="I48"/>
      <c r="J48"/>
    </row>
    <row r="49" spans="1:10" ht="18.75" x14ac:dyDescent="0.3">
      <c r="A49"/>
      <c r="B49" s="49"/>
      <c r="C49" s="118" t="s">
        <v>141</v>
      </c>
      <c r="D49" s="104" t="s">
        <v>168</v>
      </c>
      <c r="E49" s="42"/>
      <c r="F49"/>
      <c r="G49"/>
      <c r="H49"/>
      <c r="I49"/>
      <c r="J49"/>
    </row>
    <row r="50" spans="1:10" ht="13.5" thickBot="1" x14ac:dyDescent="0.25">
      <c r="A50"/>
      <c r="B50" s="42"/>
      <c r="C50" s="172" t="s">
        <v>147</v>
      </c>
      <c r="D50" s="116" t="s">
        <v>32</v>
      </c>
      <c r="E50" s="42"/>
      <c r="F50"/>
      <c r="G50"/>
      <c r="H50"/>
      <c r="I50"/>
      <c r="J50"/>
    </row>
    <row r="51" spans="1:10" x14ac:dyDescent="0.2">
      <c r="A51"/>
      <c r="B51" s="39" t="s">
        <v>10</v>
      </c>
      <c r="C51" s="6" t="s">
        <v>17</v>
      </c>
      <c r="D51" s="165" t="s">
        <v>18</v>
      </c>
      <c r="E51" s="39" t="s">
        <v>18</v>
      </c>
      <c r="F51"/>
      <c r="G51"/>
      <c r="H51"/>
      <c r="I51"/>
      <c r="J51"/>
    </row>
    <row r="52" spans="1:10" ht="13.5" thickBot="1" x14ac:dyDescent="0.25">
      <c r="A52"/>
      <c r="B52" s="146" t="s">
        <v>144</v>
      </c>
      <c r="C52" s="173" t="s">
        <v>148</v>
      </c>
      <c r="D52" s="174" t="s">
        <v>149</v>
      </c>
      <c r="E52" s="146" t="s">
        <v>150</v>
      </c>
      <c r="F52"/>
      <c r="G52"/>
      <c r="H52"/>
      <c r="I52"/>
      <c r="J52"/>
    </row>
    <row r="53" spans="1:10" x14ac:dyDescent="0.2">
      <c r="A53"/>
      <c r="B53" s="107" t="s">
        <v>169</v>
      </c>
      <c r="C53" s="104">
        <v>1</v>
      </c>
      <c r="D53" s="54"/>
      <c r="E53" s="53"/>
      <c r="F53"/>
      <c r="G53"/>
      <c r="H53"/>
      <c r="I53"/>
      <c r="J53"/>
    </row>
    <row r="54" spans="1:10" ht="13.5" thickBot="1" x14ac:dyDescent="0.25">
      <c r="A54"/>
      <c r="B54" s="186"/>
      <c r="C54" s="60"/>
      <c r="D54" s="187"/>
      <c r="E54" s="60"/>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s="176" t="s">
        <v>200</v>
      </c>
      <c r="C57"/>
      <c r="D57"/>
      <c r="E57"/>
      <c r="F57"/>
      <c r="G57"/>
      <c r="H57"/>
      <c r="I57"/>
      <c r="J57"/>
    </row>
    <row r="58" spans="1:10" x14ac:dyDescent="0.2">
      <c r="A58"/>
      <c r="B58"/>
      <c r="C58"/>
      <c r="D58"/>
      <c r="E58"/>
      <c r="F58"/>
      <c r="G58"/>
      <c r="H58"/>
      <c r="I58"/>
      <c r="J58"/>
    </row>
    <row r="59" spans="1:10" ht="13.5" thickBot="1" x14ac:dyDescent="0.25">
      <c r="A59"/>
      <c r="B59" s="33">
        <v>1</v>
      </c>
      <c r="C59" s="33"/>
      <c r="D59" s="33"/>
      <c r="E59" s="33">
        <v>2</v>
      </c>
      <c r="F59" s="33"/>
      <c r="G59"/>
      <c r="H59"/>
      <c r="I59"/>
      <c r="J59"/>
    </row>
    <row r="60" spans="1:10" ht="18.75" x14ac:dyDescent="0.3">
      <c r="A60"/>
      <c r="B60" s="118" t="s">
        <v>141</v>
      </c>
      <c r="C60" s="104" t="s">
        <v>163</v>
      </c>
      <c r="D60" s="3"/>
      <c r="E60" s="118" t="s">
        <v>141</v>
      </c>
      <c r="F60" s="104" t="s">
        <v>166</v>
      </c>
      <c r="G60"/>
      <c r="H60"/>
      <c r="I60"/>
      <c r="J60"/>
    </row>
    <row r="61" spans="1:10" x14ac:dyDescent="0.2">
      <c r="A61"/>
      <c r="B61" s="172" t="s">
        <v>151</v>
      </c>
      <c r="C61" s="116" t="s">
        <v>113</v>
      </c>
      <c r="D61" s="3"/>
      <c r="E61" s="172" t="s">
        <v>151</v>
      </c>
      <c r="F61" s="116" t="s">
        <v>113</v>
      </c>
      <c r="G61"/>
      <c r="H61"/>
      <c r="I61"/>
      <c r="J61"/>
    </row>
    <row r="62" spans="1:10" ht="13.5" thickBot="1" x14ac:dyDescent="0.25">
      <c r="A62"/>
      <c r="B62" s="146" t="s">
        <v>152</v>
      </c>
      <c r="C62" s="60">
        <v>0</v>
      </c>
      <c r="D62" s="3"/>
      <c r="E62" s="146" t="s">
        <v>152</v>
      </c>
      <c r="F62" s="60">
        <v>0</v>
      </c>
      <c r="G62"/>
      <c r="H62"/>
      <c r="I62"/>
      <c r="J62"/>
    </row>
    <row r="63" spans="1:10" x14ac:dyDescent="0.2">
      <c r="A63"/>
      <c r="B63" s="165" t="s">
        <v>10</v>
      </c>
      <c r="C63" s="175" t="s">
        <v>10</v>
      </c>
      <c r="D63" s="3"/>
      <c r="E63" s="165" t="s">
        <v>10</v>
      </c>
      <c r="F63" s="175" t="s">
        <v>10</v>
      </c>
      <c r="G63"/>
      <c r="H63"/>
      <c r="I63"/>
      <c r="J63"/>
    </row>
    <row r="64" spans="1:10" ht="13.5" thickBot="1" x14ac:dyDescent="0.25">
      <c r="A64"/>
      <c r="B64" s="174" t="s">
        <v>144</v>
      </c>
      <c r="C64" s="146" t="s">
        <v>153</v>
      </c>
      <c r="D64" s="3"/>
      <c r="E64" s="174" t="s">
        <v>144</v>
      </c>
      <c r="F64" s="146" t="s">
        <v>153</v>
      </c>
      <c r="G64"/>
      <c r="H64"/>
      <c r="I64"/>
      <c r="J64"/>
    </row>
    <row r="65" spans="1:10" x14ac:dyDescent="0.2">
      <c r="A65"/>
      <c r="B65" s="107" t="s">
        <v>164</v>
      </c>
      <c r="C65" s="104">
        <v>1</v>
      </c>
      <c r="D65" s="32"/>
      <c r="E65" s="107" t="s">
        <v>167</v>
      </c>
      <c r="F65" s="104">
        <v>1</v>
      </c>
      <c r="G65"/>
      <c r="H65"/>
      <c r="I65"/>
      <c r="J65"/>
    </row>
    <row r="66" spans="1:10" x14ac:dyDescent="0.2">
      <c r="A66"/>
      <c r="B66" s="108" t="s">
        <v>165</v>
      </c>
      <c r="C66" s="55">
        <v>1</v>
      </c>
      <c r="D66" s="32"/>
      <c r="E66" s="108" t="s">
        <v>168</v>
      </c>
      <c r="F66" s="55">
        <v>1</v>
      </c>
      <c r="G66"/>
      <c r="H66"/>
      <c r="I66"/>
      <c r="J66"/>
    </row>
    <row r="67" spans="1:10" ht="13.5" thickBot="1" x14ac:dyDescent="0.25">
      <c r="A67"/>
      <c r="B67" s="186"/>
      <c r="C67" s="60"/>
      <c r="D67" s="32"/>
      <c r="E67" s="186"/>
      <c r="F67" s="60"/>
      <c r="G67"/>
      <c r="H67"/>
      <c r="I67"/>
      <c r="J67"/>
    </row>
    <row r="68" spans="1:10" x14ac:dyDescent="0.2">
      <c r="A68"/>
      <c r="B68"/>
      <c r="C68"/>
      <c r="D68"/>
      <c r="E68"/>
      <c r="F68"/>
      <c r="G68"/>
      <c r="H68"/>
      <c r="I68"/>
      <c r="J68"/>
    </row>
    <row r="69" spans="1:10" ht="13.5" thickBot="1" x14ac:dyDescent="0.25">
      <c r="A69"/>
      <c r="B69" s="33">
        <v>3</v>
      </c>
      <c r="C69" s="33"/>
      <c r="D69"/>
      <c r="E69"/>
      <c r="F69"/>
      <c r="G69"/>
      <c r="H69"/>
      <c r="I69"/>
      <c r="J69"/>
    </row>
    <row r="70" spans="1:10" ht="18.75" x14ac:dyDescent="0.3">
      <c r="A70"/>
      <c r="B70" s="118" t="s">
        <v>141</v>
      </c>
      <c r="C70" s="104" t="s">
        <v>169</v>
      </c>
      <c r="D70"/>
      <c r="E70"/>
      <c r="F70"/>
      <c r="G70"/>
      <c r="H70"/>
      <c r="I70"/>
      <c r="J70"/>
    </row>
    <row r="71" spans="1:10" x14ac:dyDescent="0.2">
      <c r="A71"/>
      <c r="B71" s="172" t="s">
        <v>151</v>
      </c>
      <c r="C71" s="116" t="s">
        <v>113</v>
      </c>
      <c r="D71"/>
      <c r="E71"/>
      <c r="F71"/>
      <c r="G71"/>
      <c r="H71"/>
      <c r="I71"/>
      <c r="J71"/>
    </row>
    <row r="72" spans="1:10" ht="13.5" thickBot="1" x14ac:dyDescent="0.25">
      <c r="A72"/>
      <c r="B72" s="146" t="s">
        <v>152</v>
      </c>
      <c r="C72" s="60">
        <v>0</v>
      </c>
      <c r="D72"/>
      <c r="E72"/>
      <c r="F72"/>
      <c r="G72"/>
      <c r="H72"/>
      <c r="I72"/>
      <c r="J72"/>
    </row>
    <row r="73" spans="1:10" x14ac:dyDescent="0.2">
      <c r="A73"/>
      <c r="B73" s="165" t="s">
        <v>10</v>
      </c>
      <c r="C73" s="39" t="s">
        <v>10</v>
      </c>
      <c r="D73"/>
      <c r="E73"/>
      <c r="F73"/>
      <c r="G73"/>
      <c r="H73"/>
      <c r="I73"/>
      <c r="J73"/>
    </row>
    <row r="74" spans="1:10" ht="13.5" thickBot="1" x14ac:dyDescent="0.25">
      <c r="A74"/>
      <c r="B74" s="174" t="s">
        <v>144</v>
      </c>
      <c r="C74" s="146" t="s">
        <v>153</v>
      </c>
      <c r="D74"/>
      <c r="E74"/>
      <c r="F74"/>
      <c r="G74"/>
      <c r="H74"/>
      <c r="I74"/>
      <c r="J74"/>
    </row>
    <row r="75" spans="1:10" ht="13.5" thickBot="1" x14ac:dyDescent="0.25">
      <c r="A75"/>
      <c r="B75" s="188"/>
      <c r="C75" s="189"/>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s="176" t="s">
        <v>201</v>
      </c>
      <c r="C78"/>
      <c r="D78"/>
      <c r="E78"/>
      <c r="F78"/>
      <c r="G78"/>
      <c r="H78"/>
      <c r="I78"/>
      <c r="J78"/>
    </row>
    <row r="79" spans="1:10" x14ac:dyDescent="0.2">
      <c r="A79"/>
      <c r="B79"/>
      <c r="C79"/>
      <c r="D79"/>
      <c r="E79"/>
      <c r="F79"/>
      <c r="G79"/>
      <c r="H79"/>
      <c r="I79"/>
      <c r="J79"/>
    </row>
    <row r="80" spans="1:10" ht="13.5" thickBot="1" x14ac:dyDescent="0.25">
      <c r="A80"/>
      <c r="B80" s="33">
        <v>1</v>
      </c>
      <c r="C80" s="33"/>
      <c r="D80"/>
      <c r="E80"/>
      <c r="F80"/>
      <c r="G80"/>
      <c r="H80"/>
      <c r="I80"/>
      <c r="J80"/>
    </row>
    <row r="81" spans="1:10" ht="19.5" thickBot="1" x14ac:dyDescent="0.35">
      <c r="A81"/>
      <c r="B81" s="118" t="s">
        <v>141</v>
      </c>
      <c r="C81" s="104" t="s">
        <v>171</v>
      </c>
      <c r="D81"/>
      <c r="E81"/>
      <c r="F81"/>
      <c r="G81"/>
      <c r="H81"/>
      <c r="I81"/>
      <c r="J81"/>
    </row>
    <row r="82" spans="1:10" x14ac:dyDescent="0.2">
      <c r="A82"/>
      <c r="B82" s="22" t="s">
        <v>10</v>
      </c>
      <c r="C82" s="39"/>
      <c r="D82"/>
      <c r="E82"/>
      <c r="F82"/>
      <c r="G82"/>
      <c r="H82"/>
      <c r="I82"/>
      <c r="J82"/>
    </row>
    <row r="83" spans="1:10" ht="13.5" thickBot="1" x14ac:dyDescent="0.25">
      <c r="A83"/>
      <c r="B83" s="174" t="s">
        <v>155</v>
      </c>
      <c r="C83" s="146" t="s">
        <v>156</v>
      </c>
      <c r="D83"/>
      <c r="E83"/>
      <c r="F83"/>
      <c r="G83"/>
      <c r="H83"/>
      <c r="I83"/>
      <c r="J83"/>
    </row>
    <row r="84" spans="1:10" x14ac:dyDescent="0.2">
      <c r="A84"/>
      <c r="B84" s="107" t="s">
        <v>166</v>
      </c>
      <c r="C84" s="104">
        <v>10</v>
      </c>
      <c r="D84"/>
      <c r="E84"/>
      <c r="F84"/>
      <c r="G84"/>
      <c r="H84"/>
      <c r="I84"/>
      <c r="J84"/>
    </row>
    <row r="85" spans="1:10" x14ac:dyDescent="0.2">
      <c r="A85"/>
      <c r="B85" s="108" t="s">
        <v>169</v>
      </c>
      <c r="C85" s="167">
        <v>90</v>
      </c>
      <c r="D85"/>
      <c r="E85"/>
      <c r="F85"/>
      <c r="G85"/>
      <c r="H85"/>
      <c r="I85"/>
      <c r="J85"/>
    </row>
    <row r="86" spans="1:10" ht="13.5" thickBot="1" x14ac:dyDescent="0.25">
      <c r="A86"/>
      <c r="B86" s="186"/>
      <c r="C86" s="60"/>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sheetData>
  <phoneticPr fontId="0" type="noConversion"/>
  <dataValidations count="15">
    <dataValidation type="list" allowBlank="1" sqref="F13 E18:E19 B21:B22 F28 B19 B30 B46 B54 E67 B67 B75 B86">
      <formula1>NameLabelRange</formula1>
    </dataValidation>
    <dataValidation type="list" allowBlank="1" sqref="F14">
      <formula1>DistributionsEntsExits</formula1>
    </dataValidation>
    <dataValidation type="list" allowBlank="1" sqref="F15">
      <formula1>DistributionsEntsExitObjPerArrDep</formula1>
    </dataValidation>
    <dataValidation type="list" allowBlank="1" sqref="F29">
      <formula1>DistributionsBufferCap</formula1>
    </dataValidation>
    <dataValidation type="list" allowBlank="1" sqref="F30">
      <formula1>DistributionsBuffersInitialObjects</formula1>
    </dataValidation>
    <dataValidation type="list" allowBlank="1" sqref="C21:C22 C30 C46 C54 F67 C67 C75 C86">
      <formula1>WSNumOutputObjects</formula1>
    </dataValidation>
    <dataValidation type="list" allowBlank="1" sqref="D21:D22 D29:D30 D46 D54">
      <formula1>Resources</formula1>
    </dataValidation>
    <dataValidation type="list" allowBlank="1" sqref="B18 C13 D25 B29 D33 B37:B38 B45 D41 D49 B53 E65:E66 F60 B65:B66 C60 C70 B84:B85 C81">
      <formula1>NameLabelRange</formula1>
    </dataValidation>
    <dataValidation type="list" allowBlank="1" sqref="C15">
      <formula1>DistributionsEntsExitObjPerArrDep</formula1>
    </dataValidation>
    <dataValidation type="list" allowBlank="1" sqref="C14">
      <formula1>DistributionsEntsExits</formula1>
    </dataValidation>
    <dataValidation type="list" allowBlank="1" sqref="C29 C37:C38 C45 C53 F65:F66 C65:C66 C84:C85">
      <formula1>WSNumOutputObjects</formula1>
    </dataValidation>
    <dataValidation type="list" allowBlank="1" sqref="D26 D34 D42 D50">
      <formula1>DistributionsWorkStations</formula1>
    </dataValidation>
    <dataValidation type="list" allowBlank="1" sqref="D37:D38 D45 D53">
      <formula1>Resources</formula1>
    </dataValidation>
    <dataValidation type="list" allowBlank="1" sqref="F62 C62 C72">
      <formula1>DistributionsBuffersInitialObjects</formula1>
    </dataValidation>
    <dataValidation type="list" allowBlank="1" sqref="F61 C61 C71">
      <formula1>DistributionsBufferCap</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zoomScale="140" zoomScaleNormal="140" workbookViewId="0">
      <selection activeCell="A2" sqref="A2"/>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158</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139</v>
      </c>
      <c r="C15" s="16"/>
      <c r="D15" s="17"/>
      <c r="E15" s="18">
        <v>120</v>
      </c>
      <c r="F15" s="93"/>
      <c r="G15" s="94"/>
      <c r="H15" s="95"/>
      <c r="I15" s="3"/>
      <c r="J15" s="3"/>
      <c r="K15" s="3"/>
      <c r="L15" s="3"/>
      <c r="M15" s="3"/>
      <c r="N15" s="3"/>
    </row>
    <row r="16" spans="1:14" ht="13.5" thickBot="1" x14ac:dyDescent="0.25">
      <c r="A16" s="3"/>
      <c r="B16" s="168" t="s">
        <v>140</v>
      </c>
      <c r="C16" s="16"/>
      <c r="D16" s="17"/>
      <c r="E16" s="18">
        <v>100</v>
      </c>
      <c r="F16" s="96" t="s">
        <v>137</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141</v>
      </c>
      <c r="C7" s="124" t="s">
        <v>161</v>
      </c>
      <c r="D7" s="3"/>
      <c r="E7" s="169" t="s">
        <v>141</v>
      </c>
      <c r="F7" s="124"/>
      <c r="G7" s="3"/>
      <c r="H7" s="169" t="s">
        <v>141</v>
      </c>
      <c r="I7" s="124"/>
      <c r="J7" s="3"/>
      <c r="K7" s="169" t="s">
        <v>141</v>
      </c>
      <c r="L7" s="104"/>
      <c r="M7" s="3"/>
      <c r="N7" s="169" t="s">
        <v>141</v>
      </c>
      <c r="O7" s="124"/>
      <c r="P7" s="3"/>
      <c r="Q7" s="169" t="s">
        <v>141</v>
      </c>
      <c r="R7" s="124"/>
      <c r="S7" s="3"/>
      <c r="T7" s="169" t="s">
        <v>141</v>
      </c>
      <c r="U7" s="124"/>
      <c r="V7" s="3"/>
      <c r="W7" s="169" t="s">
        <v>141</v>
      </c>
      <c r="X7" s="104"/>
      <c r="Y7" s="3"/>
      <c r="Z7" s="169" t="s">
        <v>141</v>
      </c>
      <c r="AA7" s="124"/>
      <c r="AB7" s="3"/>
      <c r="AC7" s="169" t="s">
        <v>141</v>
      </c>
      <c r="AD7" s="124"/>
      <c r="AE7" s="3"/>
      <c r="AF7" s="169" t="s">
        <v>141</v>
      </c>
      <c r="AG7" s="124"/>
      <c r="AH7" s="3"/>
      <c r="AI7" s="169" t="s">
        <v>141</v>
      </c>
      <c r="AJ7" s="104"/>
      <c r="AK7" s="3"/>
      <c r="AL7" s="169" t="s">
        <v>141</v>
      </c>
      <c r="AM7" s="124"/>
      <c r="AN7" s="3"/>
      <c r="AO7" s="169" t="s">
        <v>141</v>
      </c>
      <c r="AP7" s="124"/>
      <c r="AQ7" s="3"/>
      <c r="AR7" s="169" t="s">
        <v>141</v>
      </c>
      <c r="AS7" s="124"/>
      <c r="AT7" s="3"/>
      <c r="AU7" s="169" t="s">
        <v>141</v>
      </c>
      <c r="AV7" s="104"/>
      <c r="AW7" s="3"/>
      <c r="AX7" s="169" t="s">
        <v>141</v>
      </c>
      <c r="AY7" s="124"/>
      <c r="AZ7" s="3"/>
      <c r="BA7" s="169" t="s">
        <v>141</v>
      </c>
      <c r="BB7" s="124"/>
      <c r="BC7" s="3"/>
      <c r="BD7" s="169" t="s">
        <v>141</v>
      </c>
      <c r="BE7" s="124"/>
      <c r="BF7" s="3"/>
      <c r="BG7" s="169" t="s">
        <v>141</v>
      </c>
      <c r="BH7" s="104"/>
      <c r="BI7" s="3"/>
      <c r="BJ7" s="169" t="s">
        <v>141</v>
      </c>
      <c r="BK7" s="124"/>
      <c r="BL7" s="3"/>
      <c r="BM7" s="169" t="s">
        <v>141</v>
      </c>
      <c r="BN7" s="124"/>
      <c r="BO7" s="3"/>
      <c r="BP7" s="169" t="s">
        <v>141</v>
      </c>
      <c r="BQ7" s="124"/>
      <c r="BR7" s="3"/>
      <c r="BS7" s="169" t="s">
        <v>141</v>
      </c>
      <c r="BT7" s="104"/>
      <c r="BU7" s="3"/>
      <c r="BV7" s="169" t="s">
        <v>141</v>
      </c>
      <c r="BW7" s="124"/>
      <c r="BX7" s="3"/>
      <c r="BY7" s="169" t="s">
        <v>141</v>
      </c>
      <c r="BZ7" s="124"/>
      <c r="CA7" s="3"/>
      <c r="CB7" s="169" t="s">
        <v>141</v>
      </c>
      <c r="CC7" s="124"/>
      <c r="CD7" s="3"/>
      <c r="CE7" s="169" t="s">
        <v>141</v>
      </c>
      <c r="CF7" s="104"/>
      <c r="CG7" s="3"/>
      <c r="CH7" s="169" t="s">
        <v>141</v>
      </c>
      <c r="CI7" s="124"/>
      <c r="CJ7" s="3"/>
      <c r="CK7" s="169" t="s">
        <v>141</v>
      </c>
      <c r="CL7" s="124"/>
      <c r="CM7" s="3"/>
      <c r="CN7" s="169" t="s">
        <v>141</v>
      </c>
      <c r="CO7" s="124"/>
      <c r="CP7" s="3"/>
      <c r="CQ7" s="169" t="s">
        <v>141</v>
      </c>
      <c r="CR7" s="104"/>
      <c r="CS7" s="3"/>
      <c r="CT7" s="169" t="s">
        <v>141</v>
      </c>
      <c r="CU7" s="124"/>
      <c r="CV7" s="3"/>
      <c r="CW7" s="169" t="s">
        <v>141</v>
      </c>
      <c r="CX7" s="104"/>
      <c r="CY7" s="3"/>
      <c r="CZ7" s="169" t="s">
        <v>141</v>
      </c>
      <c r="DA7" s="124"/>
      <c r="DB7" s="3"/>
      <c r="DC7" s="169" t="s">
        <v>141</v>
      </c>
      <c r="DD7" s="124"/>
      <c r="DE7" s="3"/>
      <c r="DF7" s="169" t="s">
        <v>141</v>
      </c>
      <c r="DG7" s="124"/>
      <c r="DH7" s="3"/>
      <c r="DI7" s="169" t="s">
        <v>141</v>
      </c>
      <c r="DJ7" s="104"/>
      <c r="DK7" s="3"/>
      <c r="DL7" s="169" t="s">
        <v>141</v>
      </c>
      <c r="DM7" s="124"/>
      <c r="DN7" s="3"/>
      <c r="DO7" s="169" t="s">
        <v>141</v>
      </c>
      <c r="DP7" s="124"/>
      <c r="DQ7" s="3"/>
      <c r="DR7" s="169" t="s">
        <v>141</v>
      </c>
      <c r="DS7" s="124"/>
      <c r="DT7" s="3"/>
      <c r="DU7" s="169" t="s">
        <v>141</v>
      </c>
      <c r="DV7" s="104"/>
      <c r="DW7" s="3"/>
      <c r="DX7" s="169" t="s">
        <v>141</v>
      </c>
      <c r="DY7" s="124"/>
      <c r="DZ7" s="3"/>
      <c r="EA7" s="169" t="s">
        <v>141</v>
      </c>
      <c r="EB7" s="124"/>
      <c r="EC7" s="3"/>
      <c r="ED7" s="169" t="s">
        <v>141</v>
      </c>
      <c r="EE7" s="124"/>
      <c r="EF7" s="3"/>
      <c r="EG7" s="169" t="s">
        <v>141</v>
      </c>
      <c r="EH7" s="104"/>
      <c r="EI7" s="3"/>
      <c r="EJ7" s="169" t="s">
        <v>141</v>
      </c>
      <c r="EK7" s="124"/>
      <c r="EL7" s="3"/>
      <c r="EM7" s="169" t="s">
        <v>141</v>
      </c>
      <c r="EN7" s="124"/>
      <c r="EO7" s="3"/>
      <c r="EP7" s="169" t="s">
        <v>141</v>
      </c>
      <c r="EQ7" s="124"/>
      <c r="ER7" s="3"/>
      <c r="ES7" s="169" t="s">
        <v>141</v>
      </c>
      <c r="ET7" s="104"/>
      <c r="EU7" s="3"/>
    </row>
    <row r="8" spans="1:151" x14ac:dyDescent="0.2">
      <c r="A8" s="3"/>
      <c r="B8" s="170" t="s">
        <v>142</v>
      </c>
      <c r="C8" s="116" t="s">
        <v>162</v>
      </c>
      <c r="D8" s="3"/>
      <c r="E8" s="170" t="s">
        <v>142</v>
      </c>
      <c r="F8" s="116"/>
      <c r="G8" s="3"/>
      <c r="H8" s="170" t="s">
        <v>142</v>
      </c>
      <c r="I8" s="116"/>
      <c r="J8" s="3"/>
      <c r="K8" s="170" t="s">
        <v>142</v>
      </c>
      <c r="L8" s="116"/>
      <c r="M8" s="3"/>
      <c r="N8" s="170" t="s">
        <v>142</v>
      </c>
      <c r="O8" s="116"/>
      <c r="P8" s="3"/>
      <c r="Q8" s="170" t="s">
        <v>142</v>
      </c>
      <c r="R8" s="116"/>
      <c r="S8" s="3"/>
      <c r="T8" s="170" t="s">
        <v>142</v>
      </c>
      <c r="U8" s="116"/>
      <c r="V8" s="3"/>
      <c r="W8" s="170" t="s">
        <v>142</v>
      </c>
      <c r="X8" s="116"/>
      <c r="Y8" s="3"/>
      <c r="Z8" s="170" t="s">
        <v>142</v>
      </c>
      <c r="AA8" s="116"/>
      <c r="AB8" s="3"/>
      <c r="AC8" s="170" t="s">
        <v>142</v>
      </c>
      <c r="AD8" s="116"/>
      <c r="AE8" s="3"/>
      <c r="AF8" s="170" t="s">
        <v>142</v>
      </c>
      <c r="AG8" s="116"/>
      <c r="AH8" s="3"/>
      <c r="AI8" s="170" t="s">
        <v>142</v>
      </c>
      <c r="AJ8" s="116"/>
      <c r="AK8" s="3"/>
      <c r="AL8" s="170" t="s">
        <v>142</v>
      </c>
      <c r="AM8" s="116"/>
      <c r="AN8" s="3"/>
      <c r="AO8" s="170" t="s">
        <v>142</v>
      </c>
      <c r="AP8" s="116"/>
      <c r="AQ8" s="3"/>
      <c r="AR8" s="170" t="s">
        <v>142</v>
      </c>
      <c r="AS8" s="116"/>
      <c r="AT8" s="3"/>
      <c r="AU8" s="170" t="s">
        <v>142</v>
      </c>
      <c r="AV8" s="116"/>
      <c r="AW8" s="3"/>
      <c r="AX8" s="170" t="s">
        <v>142</v>
      </c>
      <c r="AY8" s="116"/>
      <c r="AZ8" s="3"/>
      <c r="BA8" s="170" t="s">
        <v>142</v>
      </c>
      <c r="BB8" s="116"/>
      <c r="BC8" s="3"/>
      <c r="BD8" s="170" t="s">
        <v>142</v>
      </c>
      <c r="BE8" s="116"/>
      <c r="BF8" s="3"/>
      <c r="BG8" s="170" t="s">
        <v>142</v>
      </c>
      <c r="BH8" s="116"/>
      <c r="BI8" s="3"/>
      <c r="BJ8" s="170" t="s">
        <v>142</v>
      </c>
      <c r="BK8" s="116"/>
      <c r="BL8" s="3"/>
      <c r="BM8" s="170" t="s">
        <v>142</v>
      </c>
      <c r="BN8" s="116"/>
      <c r="BO8" s="3"/>
      <c r="BP8" s="170" t="s">
        <v>142</v>
      </c>
      <c r="BQ8" s="116"/>
      <c r="BR8" s="3"/>
      <c r="BS8" s="170" t="s">
        <v>142</v>
      </c>
      <c r="BT8" s="116"/>
      <c r="BU8" s="3"/>
      <c r="BV8" s="170" t="s">
        <v>142</v>
      </c>
      <c r="BW8" s="116"/>
      <c r="BX8" s="3"/>
      <c r="BY8" s="170" t="s">
        <v>142</v>
      </c>
      <c r="BZ8" s="116"/>
      <c r="CA8" s="3"/>
      <c r="CB8" s="170" t="s">
        <v>142</v>
      </c>
      <c r="CC8" s="116"/>
      <c r="CD8" s="3"/>
      <c r="CE8" s="170" t="s">
        <v>142</v>
      </c>
      <c r="CF8" s="116"/>
      <c r="CG8" s="3"/>
      <c r="CH8" s="170" t="s">
        <v>142</v>
      </c>
      <c r="CI8" s="116"/>
      <c r="CJ8" s="3"/>
      <c r="CK8" s="170" t="s">
        <v>142</v>
      </c>
      <c r="CL8" s="116"/>
      <c r="CM8" s="3"/>
      <c r="CN8" s="170" t="s">
        <v>142</v>
      </c>
      <c r="CO8" s="116"/>
      <c r="CP8" s="3"/>
      <c r="CQ8" s="170" t="s">
        <v>142</v>
      </c>
      <c r="CR8" s="116"/>
      <c r="CS8" s="3"/>
      <c r="CT8" s="170" t="s">
        <v>142</v>
      </c>
      <c r="CU8" s="116"/>
      <c r="CV8" s="3"/>
      <c r="CW8" s="170" t="s">
        <v>142</v>
      </c>
      <c r="CX8" s="116"/>
      <c r="CY8" s="3"/>
      <c r="CZ8" s="170" t="s">
        <v>142</v>
      </c>
      <c r="DA8" s="116"/>
      <c r="DB8" s="3"/>
      <c r="DC8" s="170" t="s">
        <v>142</v>
      </c>
      <c r="DD8" s="116"/>
      <c r="DE8" s="3"/>
      <c r="DF8" s="170" t="s">
        <v>142</v>
      </c>
      <c r="DG8" s="116"/>
      <c r="DH8" s="3"/>
      <c r="DI8" s="170" t="s">
        <v>142</v>
      </c>
      <c r="DJ8" s="116"/>
      <c r="DK8" s="3"/>
      <c r="DL8" s="170" t="s">
        <v>142</v>
      </c>
      <c r="DM8" s="116"/>
      <c r="DN8" s="3"/>
      <c r="DO8" s="170" t="s">
        <v>142</v>
      </c>
      <c r="DP8" s="116"/>
      <c r="DQ8" s="3"/>
      <c r="DR8" s="170" t="s">
        <v>142</v>
      </c>
      <c r="DS8" s="116"/>
      <c r="DT8" s="3"/>
      <c r="DU8" s="170" t="s">
        <v>142</v>
      </c>
      <c r="DV8" s="116"/>
      <c r="DW8" s="3"/>
      <c r="DX8" s="170" t="s">
        <v>142</v>
      </c>
      <c r="DY8" s="116"/>
      <c r="DZ8" s="3"/>
      <c r="EA8" s="170" t="s">
        <v>142</v>
      </c>
      <c r="EB8" s="116"/>
      <c r="EC8" s="3"/>
      <c r="ED8" s="170" t="s">
        <v>142</v>
      </c>
      <c r="EE8" s="116"/>
      <c r="EF8" s="3"/>
      <c r="EG8" s="170" t="s">
        <v>142</v>
      </c>
      <c r="EH8" s="116"/>
      <c r="EI8" s="3"/>
      <c r="EJ8" s="170" t="s">
        <v>142</v>
      </c>
      <c r="EK8" s="116"/>
      <c r="EL8" s="3"/>
      <c r="EM8" s="170" t="s">
        <v>142</v>
      </c>
      <c r="EN8" s="116"/>
      <c r="EO8" s="3"/>
      <c r="EP8" s="170" t="s">
        <v>142</v>
      </c>
      <c r="EQ8" s="116"/>
      <c r="ER8" s="3"/>
      <c r="ES8" s="170" t="s">
        <v>142</v>
      </c>
      <c r="ET8" s="116"/>
      <c r="EU8" s="3"/>
    </row>
    <row r="9" spans="1:151" ht="13.5" thickBot="1" x14ac:dyDescent="0.25">
      <c r="A9" s="3"/>
      <c r="B9" s="171" t="s">
        <v>143</v>
      </c>
      <c r="C9" s="37">
        <v>1</v>
      </c>
      <c r="D9" s="3"/>
      <c r="E9" s="171" t="s">
        <v>143</v>
      </c>
      <c r="F9" s="37"/>
      <c r="G9" s="3"/>
      <c r="H9" s="171" t="s">
        <v>143</v>
      </c>
      <c r="I9" s="37"/>
      <c r="J9" s="3"/>
      <c r="K9" s="171" t="s">
        <v>143</v>
      </c>
      <c r="L9" s="37"/>
      <c r="M9" s="3"/>
      <c r="N9" s="171" t="s">
        <v>143</v>
      </c>
      <c r="O9" s="37"/>
      <c r="P9" s="3"/>
      <c r="Q9" s="171" t="s">
        <v>143</v>
      </c>
      <c r="R9" s="37"/>
      <c r="S9" s="3"/>
      <c r="T9" s="171" t="s">
        <v>143</v>
      </c>
      <c r="U9" s="37"/>
      <c r="V9" s="3"/>
      <c r="W9" s="171" t="s">
        <v>143</v>
      </c>
      <c r="X9" s="37"/>
      <c r="Y9" s="3"/>
      <c r="Z9" s="171" t="s">
        <v>143</v>
      </c>
      <c r="AA9" s="37"/>
      <c r="AB9" s="3"/>
      <c r="AC9" s="171" t="s">
        <v>143</v>
      </c>
      <c r="AD9" s="37"/>
      <c r="AE9" s="3"/>
      <c r="AF9" s="171" t="s">
        <v>143</v>
      </c>
      <c r="AG9" s="37"/>
      <c r="AH9" s="3"/>
      <c r="AI9" s="171" t="s">
        <v>143</v>
      </c>
      <c r="AJ9" s="37"/>
      <c r="AK9" s="3"/>
      <c r="AL9" s="171" t="s">
        <v>143</v>
      </c>
      <c r="AM9" s="37"/>
      <c r="AN9" s="3"/>
      <c r="AO9" s="171" t="s">
        <v>143</v>
      </c>
      <c r="AP9" s="37"/>
      <c r="AQ9" s="3"/>
      <c r="AR9" s="171" t="s">
        <v>143</v>
      </c>
      <c r="AS9" s="37"/>
      <c r="AT9" s="3"/>
      <c r="AU9" s="171" t="s">
        <v>143</v>
      </c>
      <c r="AV9" s="37"/>
      <c r="AW9" s="3"/>
      <c r="AX9" s="171" t="s">
        <v>143</v>
      </c>
      <c r="AY9" s="37"/>
      <c r="AZ9" s="3"/>
      <c r="BA9" s="171" t="s">
        <v>143</v>
      </c>
      <c r="BB9" s="37"/>
      <c r="BC9" s="3"/>
      <c r="BD9" s="171" t="s">
        <v>143</v>
      </c>
      <c r="BE9" s="37"/>
      <c r="BF9" s="3"/>
      <c r="BG9" s="171" t="s">
        <v>143</v>
      </c>
      <c r="BH9" s="37"/>
      <c r="BI9" s="3"/>
      <c r="BJ9" s="171" t="s">
        <v>143</v>
      </c>
      <c r="BK9" s="37"/>
      <c r="BL9" s="3"/>
      <c r="BM9" s="171" t="s">
        <v>143</v>
      </c>
      <c r="BN9" s="37"/>
      <c r="BO9" s="3"/>
      <c r="BP9" s="171" t="s">
        <v>143</v>
      </c>
      <c r="BQ9" s="37"/>
      <c r="BR9" s="3"/>
      <c r="BS9" s="171" t="s">
        <v>143</v>
      </c>
      <c r="BT9" s="37"/>
      <c r="BU9" s="3"/>
      <c r="BV9" s="171" t="s">
        <v>143</v>
      </c>
      <c r="BW9" s="37"/>
      <c r="BX9" s="3"/>
      <c r="BY9" s="171" t="s">
        <v>143</v>
      </c>
      <c r="BZ9" s="37"/>
      <c r="CA9" s="3"/>
      <c r="CB9" s="171" t="s">
        <v>143</v>
      </c>
      <c r="CC9" s="37"/>
      <c r="CD9" s="3"/>
      <c r="CE9" s="171" t="s">
        <v>143</v>
      </c>
      <c r="CF9" s="37"/>
      <c r="CG9" s="3"/>
      <c r="CH9" s="171" t="s">
        <v>143</v>
      </c>
      <c r="CI9" s="37"/>
      <c r="CJ9" s="3"/>
      <c r="CK9" s="171" t="s">
        <v>143</v>
      </c>
      <c r="CL9" s="37"/>
      <c r="CM9" s="3"/>
      <c r="CN9" s="171" t="s">
        <v>143</v>
      </c>
      <c r="CO9" s="37"/>
      <c r="CP9" s="3"/>
      <c r="CQ9" s="171" t="s">
        <v>143</v>
      </c>
      <c r="CR9" s="37"/>
      <c r="CS9" s="3"/>
      <c r="CT9" s="171" t="s">
        <v>143</v>
      </c>
      <c r="CU9" s="37"/>
      <c r="CV9" s="3"/>
      <c r="CW9" s="171" t="s">
        <v>143</v>
      </c>
      <c r="CX9" s="37"/>
      <c r="CY9" s="3"/>
      <c r="CZ9" s="171" t="s">
        <v>143</v>
      </c>
      <c r="DA9" s="37"/>
      <c r="DB9" s="3"/>
      <c r="DC9" s="171" t="s">
        <v>143</v>
      </c>
      <c r="DD9" s="37"/>
      <c r="DE9" s="3"/>
      <c r="DF9" s="171" t="s">
        <v>143</v>
      </c>
      <c r="DG9" s="37"/>
      <c r="DH9" s="3"/>
      <c r="DI9" s="171" t="s">
        <v>143</v>
      </c>
      <c r="DJ9" s="37"/>
      <c r="DK9" s="3"/>
      <c r="DL9" s="171" t="s">
        <v>143</v>
      </c>
      <c r="DM9" s="37"/>
      <c r="DN9" s="3"/>
      <c r="DO9" s="171" t="s">
        <v>143</v>
      </c>
      <c r="DP9" s="37"/>
      <c r="DQ9" s="3"/>
      <c r="DR9" s="171" t="s">
        <v>143</v>
      </c>
      <c r="DS9" s="37"/>
      <c r="DT9" s="3"/>
      <c r="DU9" s="171" t="s">
        <v>143</v>
      </c>
      <c r="DV9" s="37"/>
      <c r="DW9" s="3"/>
      <c r="DX9" s="171" t="s">
        <v>143</v>
      </c>
      <c r="DY9" s="37"/>
      <c r="DZ9" s="3"/>
      <c r="EA9" s="171" t="s">
        <v>143</v>
      </c>
      <c r="EB9" s="37"/>
      <c r="EC9" s="3"/>
      <c r="ED9" s="171" t="s">
        <v>143</v>
      </c>
      <c r="EE9" s="37"/>
      <c r="EF9" s="3"/>
      <c r="EG9" s="171" t="s">
        <v>143</v>
      </c>
      <c r="EH9" s="37"/>
      <c r="EI9" s="3"/>
      <c r="EJ9" s="171" t="s">
        <v>143</v>
      </c>
      <c r="EK9" s="37"/>
      <c r="EL9" s="3"/>
      <c r="EM9" s="171" t="s">
        <v>143</v>
      </c>
      <c r="EN9" s="37"/>
      <c r="EO9" s="3"/>
      <c r="EP9" s="171" t="s">
        <v>143</v>
      </c>
      <c r="EQ9" s="37"/>
      <c r="ER9" s="3"/>
      <c r="ES9" s="171" t="s">
        <v>143</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144</v>
      </c>
      <c r="C11" s="42"/>
      <c r="D11" s="3"/>
      <c r="E11" s="146" t="s">
        <v>144</v>
      </c>
      <c r="F11" s="42"/>
      <c r="G11" s="3"/>
      <c r="H11" s="146" t="s">
        <v>144</v>
      </c>
      <c r="I11" s="42"/>
      <c r="J11" s="3"/>
      <c r="K11" s="146" t="s">
        <v>144</v>
      </c>
      <c r="L11" s="42"/>
      <c r="M11" s="3"/>
      <c r="N11" s="146" t="s">
        <v>144</v>
      </c>
      <c r="O11" s="42"/>
      <c r="P11" s="3"/>
      <c r="Q11" s="146" t="s">
        <v>144</v>
      </c>
      <c r="R11" s="42"/>
      <c r="S11" s="3"/>
      <c r="T11" s="146" t="s">
        <v>144</v>
      </c>
      <c r="U11" s="42"/>
      <c r="V11" s="3"/>
      <c r="W11" s="146" t="s">
        <v>144</v>
      </c>
      <c r="X11" s="42"/>
      <c r="Y11" s="3"/>
      <c r="Z11" s="146" t="s">
        <v>144</v>
      </c>
      <c r="AA11" s="42"/>
      <c r="AB11" s="3"/>
      <c r="AC11" s="146" t="s">
        <v>144</v>
      </c>
      <c r="AD11" s="42"/>
      <c r="AE11" s="3"/>
      <c r="AF11" s="146" t="s">
        <v>144</v>
      </c>
      <c r="AG11" s="42"/>
      <c r="AH11" s="3"/>
      <c r="AI11" s="146" t="s">
        <v>144</v>
      </c>
      <c r="AJ11" s="42"/>
      <c r="AK11" s="3"/>
      <c r="AL11" s="146" t="s">
        <v>144</v>
      </c>
      <c r="AM11" s="42"/>
      <c r="AN11" s="3"/>
      <c r="AO11" s="146" t="s">
        <v>144</v>
      </c>
      <c r="AP11" s="42"/>
      <c r="AQ11" s="3"/>
      <c r="AR11" s="146" t="s">
        <v>144</v>
      </c>
      <c r="AS11" s="42"/>
      <c r="AT11" s="3"/>
      <c r="AU11" s="146" t="s">
        <v>144</v>
      </c>
      <c r="AV11" s="42"/>
      <c r="AW11" s="3"/>
      <c r="AX11" s="146" t="s">
        <v>144</v>
      </c>
      <c r="AY11" s="42"/>
      <c r="AZ11" s="3"/>
      <c r="BA11" s="146" t="s">
        <v>144</v>
      </c>
      <c r="BB11" s="42"/>
      <c r="BC11" s="3"/>
      <c r="BD11" s="146" t="s">
        <v>144</v>
      </c>
      <c r="BE11" s="42"/>
      <c r="BF11" s="3"/>
      <c r="BG11" s="146" t="s">
        <v>144</v>
      </c>
      <c r="BH11" s="42"/>
      <c r="BI11" s="3"/>
      <c r="BJ11" s="146" t="s">
        <v>144</v>
      </c>
      <c r="BK11" s="42"/>
      <c r="BL11" s="3"/>
      <c r="BM11" s="146" t="s">
        <v>144</v>
      </c>
      <c r="BN11" s="42"/>
      <c r="BO11" s="3"/>
      <c r="BP11" s="146" t="s">
        <v>144</v>
      </c>
      <c r="BQ11" s="42"/>
      <c r="BR11" s="3"/>
      <c r="BS11" s="146" t="s">
        <v>144</v>
      </c>
      <c r="BT11" s="42"/>
      <c r="BU11" s="3"/>
      <c r="BV11" s="146" t="s">
        <v>144</v>
      </c>
      <c r="BW11" s="42"/>
      <c r="BX11" s="3"/>
      <c r="BY11" s="146" t="s">
        <v>144</v>
      </c>
      <c r="BZ11" s="42"/>
      <c r="CA11" s="3"/>
      <c r="CB11" s="146" t="s">
        <v>144</v>
      </c>
      <c r="CC11" s="42"/>
      <c r="CD11" s="3"/>
      <c r="CE11" s="146" t="s">
        <v>144</v>
      </c>
      <c r="CF11" s="42"/>
      <c r="CG11" s="3"/>
      <c r="CH11" s="146" t="s">
        <v>144</v>
      </c>
      <c r="CI11" s="42"/>
      <c r="CJ11" s="3"/>
      <c r="CK11" s="146" t="s">
        <v>144</v>
      </c>
      <c r="CL11" s="42"/>
      <c r="CM11" s="3"/>
      <c r="CN11" s="146" t="s">
        <v>144</v>
      </c>
      <c r="CO11" s="42"/>
      <c r="CP11" s="3"/>
      <c r="CQ11" s="146" t="s">
        <v>144</v>
      </c>
      <c r="CR11" s="42"/>
      <c r="CS11" s="3"/>
      <c r="CT11" s="146" t="s">
        <v>144</v>
      </c>
      <c r="CU11" s="42"/>
      <c r="CV11" s="3"/>
      <c r="CW11" s="146" t="s">
        <v>144</v>
      </c>
      <c r="CX11" s="42"/>
      <c r="CY11" s="3"/>
      <c r="CZ11" s="146" t="s">
        <v>144</v>
      </c>
      <c r="DA11" s="42"/>
      <c r="DB11" s="3"/>
      <c r="DC11" s="146" t="s">
        <v>144</v>
      </c>
      <c r="DD11" s="42"/>
      <c r="DE11" s="3"/>
      <c r="DF11" s="146" t="s">
        <v>144</v>
      </c>
      <c r="DG11" s="42"/>
      <c r="DH11" s="3"/>
      <c r="DI11" s="146" t="s">
        <v>144</v>
      </c>
      <c r="DJ11" s="42"/>
      <c r="DK11" s="3"/>
      <c r="DL11" s="146" t="s">
        <v>144</v>
      </c>
      <c r="DM11" s="42"/>
      <c r="DN11" s="3"/>
      <c r="DO11" s="146" t="s">
        <v>144</v>
      </c>
      <c r="DP11" s="42"/>
      <c r="DQ11" s="3"/>
      <c r="DR11" s="146" t="s">
        <v>144</v>
      </c>
      <c r="DS11" s="42"/>
      <c r="DT11" s="3"/>
      <c r="DU11" s="146" t="s">
        <v>144</v>
      </c>
      <c r="DV11" s="42"/>
      <c r="DW11" s="3"/>
      <c r="DX11" s="146" t="s">
        <v>144</v>
      </c>
      <c r="DY11" s="42"/>
      <c r="DZ11" s="3"/>
      <c r="EA11" s="146" t="s">
        <v>144</v>
      </c>
      <c r="EB11" s="42"/>
      <c r="EC11" s="3"/>
      <c r="ED11" s="146" t="s">
        <v>144</v>
      </c>
      <c r="EE11" s="42"/>
      <c r="EF11" s="3"/>
      <c r="EG11" s="146" t="s">
        <v>144</v>
      </c>
      <c r="EH11" s="42"/>
      <c r="EI11" s="3"/>
      <c r="EJ11" s="146" t="s">
        <v>144</v>
      </c>
      <c r="EK11" s="42"/>
      <c r="EL11" s="3"/>
      <c r="EM11" s="146" t="s">
        <v>144</v>
      </c>
      <c r="EN11" s="42"/>
      <c r="EO11" s="3"/>
      <c r="EP11" s="146" t="s">
        <v>144</v>
      </c>
      <c r="EQ11" s="42"/>
      <c r="ER11" s="3"/>
      <c r="ES11" s="146" t="s">
        <v>144</v>
      </c>
      <c r="ET11" s="42"/>
      <c r="EU11" s="3"/>
    </row>
    <row r="12" spans="1:151" x14ac:dyDescent="0.2">
      <c r="A12" s="3"/>
      <c r="B12" s="108" t="s">
        <v>163</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141</v>
      </c>
      <c r="C7" s="104"/>
      <c r="D7" s="117"/>
      <c r="E7" s="118" t="s">
        <v>141</v>
      </c>
      <c r="F7" s="104"/>
      <c r="G7" s="117"/>
      <c r="H7" s="118" t="s">
        <v>141</v>
      </c>
      <c r="I7" s="104"/>
      <c r="J7" s="117"/>
      <c r="K7" s="118" t="s">
        <v>141</v>
      </c>
      <c r="L7" s="104"/>
      <c r="M7" s="117"/>
      <c r="N7" s="118" t="s">
        <v>141</v>
      </c>
      <c r="O7" s="104"/>
      <c r="P7" s="117"/>
      <c r="Q7" s="118" t="s">
        <v>141</v>
      </c>
      <c r="R7" s="104"/>
      <c r="S7" s="117"/>
      <c r="T7" s="118" t="s">
        <v>141</v>
      </c>
      <c r="U7" s="104"/>
      <c r="V7" s="117"/>
      <c r="W7" s="118" t="s">
        <v>141</v>
      </c>
      <c r="X7" s="104"/>
      <c r="Y7" s="117"/>
      <c r="Z7" s="118" t="s">
        <v>141</v>
      </c>
      <c r="AA7" s="104"/>
      <c r="AB7" s="117"/>
      <c r="AC7" s="118" t="s">
        <v>141</v>
      </c>
      <c r="AD7" s="104"/>
      <c r="AE7" s="117"/>
      <c r="AF7" s="118" t="s">
        <v>141</v>
      </c>
      <c r="AG7" s="104"/>
      <c r="AH7" s="117"/>
      <c r="AI7" s="118" t="s">
        <v>141</v>
      </c>
      <c r="AJ7" s="104"/>
      <c r="AK7" s="117"/>
      <c r="AL7" s="118" t="s">
        <v>141</v>
      </c>
      <c r="AM7" s="104"/>
      <c r="AN7" s="117"/>
      <c r="AO7" s="118" t="s">
        <v>141</v>
      </c>
      <c r="AP7" s="104"/>
      <c r="AQ7" s="117"/>
      <c r="AR7" s="118" t="s">
        <v>141</v>
      </c>
      <c r="AS7" s="104"/>
      <c r="AT7" s="117"/>
      <c r="AU7" s="118" t="s">
        <v>141</v>
      </c>
      <c r="AV7" s="104"/>
      <c r="AW7" s="117"/>
      <c r="AX7" s="118" t="s">
        <v>141</v>
      </c>
      <c r="AY7" s="104"/>
      <c r="AZ7" s="117"/>
      <c r="BA7" s="118" t="s">
        <v>141</v>
      </c>
      <c r="BB7" s="104"/>
      <c r="BC7" s="117"/>
      <c r="BD7" s="118" t="s">
        <v>141</v>
      </c>
      <c r="BE7" s="104"/>
      <c r="BF7" s="117"/>
      <c r="BG7" s="118" t="s">
        <v>141</v>
      </c>
      <c r="BH7" s="104"/>
      <c r="BI7" s="117"/>
      <c r="BJ7" s="118" t="s">
        <v>141</v>
      </c>
      <c r="BK7" s="104"/>
      <c r="BL7" s="117"/>
      <c r="BM7" s="118" t="s">
        <v>141</v>
      </c>
      <c r="BN7" s="104"/>
      <c r="BO7" s="117"/>
      <c r="BP7" s="118" t="s">
        <v>141</v>
      </c>
      <c r="BQ7" s="104"/>
      <c r="BR7" s="117"/>
      <c r="BS7" s="118" t="s">
        <v>141</v>
      </c>
      <c r="BT7" s="104"/>
      <c r="BU7" s="117"/>
      <c r="BV7" s="118" t="s">
        <v>141</v>
      </c>
      <c r="BW7" s="104"/>
      <c r="BX7" s="117"/>
      <c r="BY7" s="118" t="s">
        <v>141</v>
      </c>
      <c r="BZ7" s="104"/>
      <c r="CA7" s="117"/>
      <c r="CB7" s="118" t="s">
        <v>141</v>
      </c>
      <c r="CC7" s="104"/>
      <c r="CD7" s="117"/>
      <c r="CE7" s="118" t="s">
        <v>141</v>
      </c>
      <c r="CF7" s="104"/>
      <c r="CG7" s="117"/>
      <c r="CH7" s="118" t="s">
        <v>141</v>
      </c>
      <c r="CI7" s="104"/>
      <c r="CJ7" s="117"/>
      <c r="CK7" s="118" t="s">
        <v>141</v>
      </c>
      <c r="CL7" s="104"/>
      <c r="CM7" s="117"/>
      <c r="CN7" s="118" t="s">
        <v>141</v>
      </c>
      <c r="CO7" s="104"/>
      <c r="CP7" s="117"/>
      <c r="CQ7" s="118" t="s">
        <v>141</v>
      </c>
      <c r="CR7" s="104"/>
      <c r="CS7" s="117"/>
      <c r="CT7" s="118" t="s">
        <v>141</v>
      </c>
      <c r="CU7" s="104"/>
      <c r="CV7" s="117"/>
      <c r="CW7" s="118" t="s">
        <v>141</v>
      </c>
      <c r="CX7" s="104"/>
      <c r="CY7" s="117"/>
      <c r="CZ7" s="118" t="s">
        <v>141</v>
      </c>
      <c r="DA7" s="104"/>
      <c r="DB7" s="117"/>
      <c r="DC7" s="118" t="s">
        <v>141</v>
      </c>
      <c r="DD7" s="104"/>
      <c r="DE7" s="117"/>
      <c r="DF7" s="118" t="s">
        <v>141</v>
      </c>
      <c r="DG7" s="104"/>
      <c r="DH7" s="117"/>
      <c r="DI7" s="118" t="s">
        <v>141</v>
      </c>
      <c r="DJ7" s="104"/>
      <c r="DK7" s="117"/>
      <c r="DL7" s="118" t="s">
        <v>141</v>
      </c>
      <c r="DM7" s="104"/>
      <c r="DN7" s="117"/>
      <c r="DO7" s="118" t="s">
        <v>141</v>
      </c>
      <c r="DP7" s="104"/>
      <c r="DQ7" s="117"/>
      <c r="DR7" s="118" t="s">
        <v>141</v>
      </c>
      <c r="DS7" s="104"/>
      <c r="DT7" s="117"/>
      <c r="DU7" s="118" t="s">
        <v>141</v>
      </c>
      <c r="DV7" s="104"/>
      <c r="DW7" s="117"/>
      <c r="DX7" s="118" t="s">
        <v>141</v>
      </c>
      <c r="DY7" s="104"/>
      <c r="DZ7" s="117"/>
      <c r="EA7" s="118" t="s">
        <v>141</v>
      </c>
      <c r="EB7" s="104"/>
      <c r="EC7" s="117"/>
      <c r="ED7" s="118" t="s">
        <v>141</v>
      </c>
      <c r="EE7" s="104"/>
      <c r="EF7" s="117"/>
      <c r="EG7" s="118" t="s">
        <v>141</v>
      </c>
      <c r="EH7" s="104"/>
      <c r="EI7" s="117"/>
      <c r="EJ7" s="118" t="s">
        <v>141</v>
      </c>
      <c r="EK7" s="104"/>
      <c r="EL7" s="117"/>
      <c r="EM7" s="118" t="s">
        <v>141</v>
      </c>
      <c r="EN7" s="104"/>
      <c r="EO7" s="117"/>
      <c r="EP7" s="118" t="s">
        <v>141</v>
      </c>
      <c r="EQ7" s="104"/>
      <c r="ER7" s="117"/>
      <c r="ES7" s="118" t="s">
        <v>141</v>
      </c>
      <c r="ET7" s="104"/>
      <c r="EU7" s="3"/>
    </row>
    <row r="8" spans="1:151" x14ac:dyDescent="0.2">
      <c r="A8" s="3"/>
      <c r="B8" s="119" t="s">
        <v>145</v>
      </c>
      <c r="C8" s="116"/>
      <c r="D8" s="117"/>
      <c r="E8" s="119" t="s">
        <v>145</v>
      </c>
      <c r="F8" s="116"/>
      <c r="G8" s="117"/>
      <c r="H8" s="119" t="s">
        <v>145</v>
      </c>
      <c r="I8" s="116"/>
      <c r="J8" s="117"/>
      <c r="K8" s="119" t="s">
        <v>145</v>
      </c>
      <c r="L8" s="116"/>
      <c r="M8" s="117"/>
      <c r="N8" s="119" t="s">
        <v>145</v>
      </c>
      <c r="O8" s="116"/>
      <c r="P8" s="117"/>
      <c r="Q8" s="119" t="s">
        <v>145</v>
      </c>
      <c r="R8" s="116"/>
      <c r="S8" s="117"/>
      <c r="T8" s="119" t="s">
        <v>145</v>
      </c>
      <c r="U8" s="116"/>
      <c r="V8" s="117"/>
      <c r="W8" s="119" t="s">
        <v>145</v>
      </c>
      <c r="X8" s="116"/>
      <c r="Y8" s="117"/>
      <c r="Z8" s="119" t="s">
        <v>145</v>
      </c>
      <c r="AA8" s="116"/>
      <c r="AB8" s="117"/>
      <c r="AC8" s="119" t="s">
        <v>145</v>
      </c>
      <c r="AD8" s="116"/>
      <c r="AE8" s="117"/>
      <c r="AF8" s="119" t="s">
        <v>145</v>
      </c>
      <c r="AG8" s="116"/>
      <c r="AH8" s="117"/>
      <c r="AI8" s="119" t="s">
        <v>145</v>
      </c>
      <c r="AJ8" s="116"/>
      <c r="AK8" s="117"/>
      <c r="AL8" s="119" t="s">
        <v>145</v>
      </c>
      <c r="AM8" s="116"/>
      <c r="AN8" s="117"/>
      <c r="AO8" s="119" t="s">
        <v>145</v>
      </c>
      <c r="AP8" s="116"/>
      <c r="AQ8" s="117"/>
      <c r="AR8" s="119" t="s">
        <v>145</v>
      </c>
      <c r="AS8" s="116"/>
      <c r="AT8" s="117"/>
      <c r="AU8" s="119" t="s">
        <v>145</v>
      </c>
      <c r="AV8" s="116"/>
      <c r="AW8" s="117"/>
      <c r="AX8" s="119" t="s">
        <v>145</v>
      </c>
      <c r="AY8" s="116"/>
      <c r="AZ8" s="117"/>
      <c r="BA8" s="119" t="s">
        <v>145</v>
      </c>
      <c r="BB8" s="116"/>
      <c r="BC8" s="117"/>
      <c r="BD8" s="119" t="s">
        <v>145</v>
      </c>
      <c r="BE8" s="116"/>
      <c r="BF8" s="117"/>
      <c r="BG8" s="119" t="s">
        <v>145</v>
      </c>
      <c r="BH8" s="116"/>
      <c r="BI8" s="117"/>
      <c r="BJ8" s="119" t="s">
        <v>145</v>
      </c>
      <c r="BK8" s="116"/>
      <c r="BL8" s="117"/>
      <c r="BM8" s="119" t="s">
        <v>145</v>
      </c>
      <c r="BN8" s="116"/>
      <c r="BO8" s="117"/>
      <c r="BP8" s="119" t="s">
        <v>145</v>
      </c>
      <c r="BQ8" s="116"/>
      <c r="BR8" s="117"/>
      <c r="BS8" s="119" t="s">
        <v>145</v>
      </c>
      <c r="BT8" s="116"/>
      <c r="BU8" s="117"/>
      <c r="BV8" s="119" t="s">
        <v>145</v>
      </c>
      <c r="BW8" s="116"/>
      <c r="BX8" s="117"/>
      <c r="BY8" s="119" t="s">
        <v>145</v>
      </c>
      <c r="BZ8" s="116"/>
      <c r="CA8" s="117"/>
      <c r="CB8" s="119" t="s">
        <v>145</v>
      </c>
      <c r="CC8" s="116"/>
      <c r="CD8" s="117"/>
      <c r="CE8" s="119" t="s">
        <v>145</v>
      </c>
      <c r="CF8" s="116"/>
      <c r="CG8" s="117"/>
      <c r="CH8" s="119" t="s">
        <v>145</v>
      </c>
      <c r="CI8" s="116"/>
      <c r="CJ8" s="117"/>
      <c r="CK8" s="119" t="s">
        <v>145</v>
      </c>
      <c r="CL8" s="116"/>
      <c r="CM8" s="117"/>
      <c r="CN8" s="119" t="s">
        <v>145</v>
      </c>
      <c r="CO8" s="116"/>
      <c r="CP8" s="117"/>
      <c r="CQ8" s="119" t="s">
        <v>145</v>
      </c>
      <c r="CR8" s="116"/>
      <c r="CS8" s="117"/>
      <c r="CT8" s="119" t="s">
        <v>145</v>
      </c>
      <c r="CU8" s="116"/>
      <c r="CV8" s="117"/>
      <c r="CW8" s="119" t="s">
        <v>145</v>
      </c>
      <c r="CX8" s="116"/>
      <c r="CY8" s="117"/>
      <c r="CZ8" s="119" t="s">
        <v>145</v>
      </c>
      <c r="DA8" s="116"/>
      <c r="DB8" s="117"/>
      <c r="DC8" s="119" t="s">
        <v>145</v>
      </c>
      <c r="DD8" s="116"/>
      <c r="DE8" s="117"/>
      <c r="DF8" s="119" t="s">
        <v>145</v>
      </c>
      <c r="DG8" s="116"/>
      <c r="DH8" s="117"/>
      <c r="DI8" s="119" t="s">
        <v>145</v>
      </c>
      <c r="DJ8" s="116"/>
      <c r="DK8" s="117"/>
      <c r="DL8" s="119" t="s">
        <v>145</v>
      </c>
      <c r="DM8" s="116"/>
      <c r="DN8" s="117"/>
      <c r="DO8" s="119" t="s">
        <v>145</v>
      </c>
      <c r="DP8" s="116"/>
      <c r="DQ8" s="117"/>
      <c r="DR8" s="119" t="s">
        <v>145</v>
      </c>
      <c r="DS8" s="116"/>
      <c r="DT8" s="117"/>
      <c r="DU8" s="119" t="s">
        <v>145</v>
      </c>
      <c r="DV8" s="116"/>
      <c r="DW8" s="117"/>
      <c r="DX8" s="119" t="s">
        <v>145</v>
      </c>
      <c r="DY8" s="116"/>
      <c r="DZ8" s="117"/>
      <c r="EA8" s="119" t="s">
        <v>145</v>
      </c>
      <c r="EB8" s="116"/>
      <c r="EC8" s="117"/>
      <c r="ED8" s="119" t="s">
        <v>145</v>
      </c>
      <c r="EE8" s="116"/>
      <c r="EF8" s="117"/>
      <c r="EG8" s="119" t="s">
        <v>145</v>
      </c>
      <c r="EH8" s="116"/>
      <c r="EI8" s="117"/>
      <c r="EJ8" s="119" t="s">
        <v>145</v>
      </c>
      <c r="EK8" s="116"/>
      <c r="EL8" s="117"/>
      <c r="EM8" s="119" t="s">
        <v>145</v>
      </c>
      <c r="EN8" s="116"/>
      <c r="EO8" s="117"/>
      <c r="EP8" s="119" t="s">
        <v>145</v>
      </c>
      <c r="EQ8" s="116"/>
      <c r="ER8" s="117"/>
      <c r="ES8" s="119" t="s">
        <v>145</v>
      </c>
      <c r="ET8" s="116"/>
      <c r="EU8" s="3"/>
    </row>
    <row r="9" spans="1:151" ht="13.5" thickBot="1" x14ac:dyDescent="0.25">
      <c r="A9" s="3"/>
      <c r="B9" s="120" t="s">
        <v>146</v>
      </c>
      <c r="C9" s="121"/>
      <c r="D9" s="117"/>
      <c r="E9" s="120" t="s">
        <v>146</v>
      </c>
      <c r="F9" s="121"/>
      <c r="G9" s="117"/>
      <c r="H9" s="120" t="s">
        <v>146</v>
      </c>
      <c r="I9" s="121"/>
      <c r="J9" s="117"/>
      <c r="K9" s="120" t="s">
        <v>146</v>
      </c>
      <c r="L9" s="121"/>
      <c r="M9" s="117"/>
      <c r="N9" s="120" t="s">
        <v>146</v>
      </c>
      <c r="O9" s="121"/>
      <c r="P9" s="117"/>
      <c r="Q9" s="120" t="s">
        <v>146</v>
      </c>
      <c r="R9" s="121"/>
      <c r="S9" s="117"/>
      <c r="T9" s="120" t="s">
        <v>146</v>
      </c>
      <c r="U9" s="121"/>
      <c r="V9" s="117"/>
      <c r="W9" s="120" t="s">
        <v>146</v>
      </c>
      <c r="X9" s="121"/>
      <c r="Y9" s="117"/>
      <c r="Z9" s="120" t="s">
        <v>146</v>
      </c>
      <c r="AA9" s="121"/>
      <c r="AB9" s="117"/>
      <c r="AC9" s="120" t="s">
        <v>146</v>
      </c>
      <c r="AD9" s="121"/>
      <c r="AE9" s="117"/>
      <c r="AF9" s="120" t="s">
        <v>146</v>
      </c>
      <c r="AG9" s="121"/>
      <c r="AH9" s="117"/>
      <c r="AI9" s="120" t="s">
        <v>146</v>
      </c>
      <c r="AJ9" s="121"/>
      <c r="AK9" s="117"/>
      <c r="AL9" s="120" t="s">
        <v>146</v>
      </c>
      <c r="AM9" s="121"/>
      <c r="AN9" s="117"/>
      <c r="AO9" s="120" t="s">
        <v>146</v>
      </c>
      <c r="AP9" s="121"/>
      <c r="AQ9" s="117"/>
      <c r="AR9" s="120" t="s">
        <v>146</v>
      </c>
      <c r="AS9" s="121"/>
      <c r="AT9" s="117"/>
      <c r="AU9" s="120" t="s">
        <v>146</v>
      </c>
      <c r="AV9" s="121"/>
      <c r="AW9" s="117"/>
      <c r="AX9" s="120" t="s">
        <v>146</v>
      </c>
      <c r="AY9" s="121"/>
      <c r="AZ9" s="117"/>
      <c r="BA9" s="120" t="s">
        <v>146</v>
      </c>
      <c r="BB9" s="121"/>
      <c r="BC9" s="117"/>
      <c r="BD9" s="120" t="s">
        <v>146</v>
      </c>
      <c r="BE9" s="121"/>
      <c r="BF9" s="117"/>
      <c r="BG9" s="120" t="s">
        <v>146</v>
      </c>
      <c r="BH9" s="121"/>
      <c r="BI9" s="117"/>
      <c r="BJ9" s="120" t="s">
        <v>146</v>
      </c>
      <c r="BK9" s="121"/>
      <c r="BL9" s="117"/>
      <c r="BM9" s="120" t="s">
        <v>146</v>
      </c>
      <c r="BN9" s="121"/>
      <c r="BO9" s="117"/>
      <c r="BP9" s="120" t="s">
        <v>146</v>
      </c>
      <c r="BQ9" s="121"/>
      <c r="BR9" s="117"/>
      <c r="BS9" s="120" t="s">
        <v>146</v>
      </c>
      <c r="BT9" s="121"/>
      <c r="BU9" s="117"/>
      <c r="BV9" s="120" t="s">
        <v>146</v>
      </c>
      <c r="BW9" s="121"/>
      <c r="BX9" s="117"/>
      <c r="BY9" s="120" t="s">
        <v>146</v>
      </c>
      <c r="BZ9" s="121"/>
      <c r="CA9" s="117"/>
      <c r="CB9" s="120" t="s">
        <v>146</v>
      </c>
      <c r="CC9" s="121"/>
      <c r="CD9" s="117"/>
      <c r="CE9" s="120" t="s">
        <v>146</v>
      </c>
      <c r="CF9" s="121"/>
      <c r="CG9" s="117"/>
      <c r="CH9" s="120" t="s">
        <v>146</v>
      </c>
      <c r="CI9" s="121"/>
      <c r="CJ9" s="117"/>
      <c r="CK9" s="120" t="s">
        <v>146</v>
      </c>
      <c r="CL9" s="121"/>
      <c r="CM9" s="117"/>
      <c r="CN9" s="120" t="s">
        <v>146</v>
      </c>
      <c r="CO9" s="121"/>
      <c r="CP9" s="117"/>
      <c r="CQ9" s="120" t="s">
        <v>146</v>
      </c>
      <c r="CR9" s="121"/>
      <c r="CS9" s="117"/>
      <c r="CT9" s="120" t="s">
        <v>146</v>
      </c>
      <c r="CU9" s="121"/>
      <c r="CV9" s="117"/>
      <c r="CW9" s="120" t="s">
        <v>146</v>
      </c>
      <c r="CX9" s="121"/>
      <c r="CY9" s="117"/>
      <c r="CZ9" s="120" t="s">
        <v>146</v>
      </c>
      <c r="DA9" s="121"/>
      <c r="DB9" s="117"/>
      <c r="DC9" s="120" t="s">
        <v>146</v>
      </c>
      <c r="DD9" s="121"/>
      <c r="DE9" s="117"/>
      <c r="DF9" s="120" t="s">
        <v>146</v>
      </c>
      <c r="DG9" s="121"/>
      <c r="DH9" s="117"/>
      <c r="DI9" s="120" t="s">
        <v>146</v>
      </c>
      <c r="DJ9" s="121"/>
      <c r="DK9" s="117"/>
      <c r="DL9" s="120" t="s">
        <v>146</v>
      </c>
      <c r="DM9" s="121"/>
      <c r="DN9" s="117"/>
      <c r="DO9" s="120" t="s">
        <v>146</v>
      </c>
      <c r="DP9" s="121"/>
      <c r="DQ9" s="117"/>
      <c r="DR9" s="120" t="s">
        <v>146</v>
      </c>
      <c r="DS9" s="121"/>
      <c r="DT9" s="117"/>
      <c r="DU9" s="120" t="s">
        <v>146</v>
      </c>
      <c r="DV9" s="121"/>
      <c r="DW9" s="117"/>
      <c r="DX9" s="120" t="s">
        <v>146</v>
      </c>
      <c r="DY9" s="121"/>
      <c r="DZ9" s="117"/>
      <c r="EA9" s="120" t="s">
        <v>146</v>
      </c>
      <c r="EB9" s="121"/>
      <c r="EC9" s="117"/>
      <c r="ED9" s="120" t="s">
        <v>146</v>
      </c>
      <c r="EE9" s="121"/>
      <c r="EF9" s="117"/>
      <c r="EG9" s="120" t="s">
        <v>146</v>
      </c>
      <c r="EH9" s="121"/>
      <c r="EI9" s="117"/>
      <c r="EJ9" s="120" t="s">
        <v>146</v>
      </c>
      <c r="EK9" s="121"/>
      <c r="EL9" s="117"/>
      <c r="EM9" s="120" t="s">
        <v>146</v>
      </c>
      <c r="EN9" s="121"/>
      <c r="EO9" s="117"/>
      <c r="EP9" s="120" t="s">
        <v>146</v>
      </c>
      <c r="EQ9" s="121"/>
      <c r="ER9" s="117"/>
      <c r="ES9" s="120" t="s">
        <v>146</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2"/>
  <sheetViews>
    <sheetView workbookViewId="0">
      <selection activeCell="S8" sqref="S8"/>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2"/>
      <c r="H6" s="48">
        <v>2</v>
      </c>
      <c r="I6" s="48"/>
      <c r="J6" s="33"/>
      <c r="K6" s="48"/>
      <c r="L6" s="42"/>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141</v>
      </c>
      <c r="D7" s="104" t="s">
        <v>164</v>
      </c>
      <c r="E7" s="42"/>
      <c r="F7" s="42"/>
      <c r="G7" s="49"/>
      <c r="H7" s="118" t="s">
        <v>141</v>
      </c>
      <c r="I7" s="104" t="s">
        <v>165</v>
      </c>
      <c r="J7" s="42"/>
      <c r="K7" s="42"/>
      <c r="L7" s="49"/>
      <c r="M7" s="118" t="s">
        <v>141</v>
      </c>
      <c r="N7" s="104" t="s">
        <v>167</v>
      </c>
      <c r="O7" s="42"/>
      <c r="P7" s="42"/>
      <c r="Q7" s="49"/>
      <c r="R7" s="118" t="s">
        <v>141</v>
      </c>
      <c r="S7" s="104" t="s">
        <v>168</v>
      </c>
      <c r="T7" s="42"/>
      <c r="U7" s="42"/>
      <c r="V7" s="49"/>
      <c r="W7" s="118" t="s">
        <v>141</v>
      </c>
      <c r="X7" s="104"/>
      <c r="Y7" s="42"/>
      <c r="Z7" s="42"/>
      <c r="AA7" s="49"/>
      <c r="AB7" s="118" t="s">
        <v>141</v>
      </c>
      <c r="AC7" s="104"/>
      <c r="AD7" s="42"/>
      <c r="AE7" s="42"/>
      <c r="AF7" s="49"/>
      <c r="AG7" s="118" t="s">
        <v>141</v>
      </c>
      <c r="AH7" s="104"/>
      <c r="AI7" s="42"/>
      <c r="AJ7" s="42"/>
      <c r="AK7" s="49"/>
      <c r="AL7" s="118" t="s">
        <v>141</v>
      </c>
      <c r="AM7" s="104"/>
      <c r="AN7" s="42"/>
      <c r="AO7" s="42"/>
      <c r="AP7" s="49"/>
      <c r="AQ7" s="118" t="s">
        <v>141</v>
      </c>
      <c r="AR7" s="104"/>
      <c r="AS7" s="42"/>
      <c r="AT7" s="42"/>
      <c r="AU7" s="49"/>
      <c r="AV7" s="118" t="s">
        <v>141</v>
      </c>
      <c r="AW7" s="104"/>
      <c r="AX7" s="42"/>
      <c r="AY7" s="42"/>
      <c r="AZ7" s="49"/>
      <c r="BA7" s="118" t="s">
        <v>141</v>
      </c>
      <c r="BB7" s="104"/>
      <c r="BC7" s="42"/>
      <c r="BD7" s="42"/>
      <c r="BE7" s="49"/>
      <c r="BF7" s="118" t="s">
        <v>141</v>
      </c>
      <c r="BG7" s="104"/>
      <c r="BH7" s="42"/>
      <c r="BI7" s="42"/>
      <c r="BJ7" s="49"/>
      <c r="BK7" s="118" t="s">
        <v>141</v>
      </c>
      <c r="BL7" s="104"/>
      <c r="BM7" s="42"/>
      <c r="BN7" s="42"/>
      <c r="BO7" s="49"/>
      <c r="BP7" s="118" t="s">
        <v>141</v>
      </c>
      <c r="BQ7" s="104"/>
      <c r="BR7" s="42"/>
      <c r="BS7" s="42"/>
      <c r="BT7" s="49"/>
      <c r="BU7" s="118" t="s">
        <v>141</v>
      </c>
      <c r="BV7" s="104"/>
      <c r="BW7" s="42"/>
      <c r="BX7" s="42"/>
      <c r="BY7" s="49"/>
      <c r="BZ7" s="118" t="s">
        <v>141</v>
      </c>
      <c r="CA7" s="104"/>
      <c r="CB7" s="42"/>
      <c r="CC7" s="42"/>
      <c r="CD7" s="49"/>
      <c r="CE7" s="118" t="s">
        <v>141</v>
      </c>
      <c r="CF7" s="104"/>
      <c r="CG7" s="42"/>
      <c r="CH7" s="42"/>
      <c r="CI7" s="49"/>
      <c r="CJ7" s="118" t="s">
        <v>141</v>
      </c>
      <c r="CK7" s="104"/>
      <c r="CL7" s="42"/>
      <c r="CM7" s="42"/>
      <c r="CN7" s="49"/>
      <c r="CO7" s="118" t="s">
        <v>141</v>
      </c>
      <c r="CP7" s="104"/>
      <c r="CQ7" s="42"/>
      <c r="CR7" s="42"/>
      <c r="CS7" s="49"/>
      <c r="CT7" s="118" t="s">
        <v>141</v>
      </c>
      <c r="CU7" s="104"/>
      <c r="CV7" s="42"/>
      <c r="CW7" s="42"/>
      <c r="CX7" s="49"/>
      <c r="CY7" s="118" t="s">
        <v>141</v>
      </c>
      <c r="CZ7" s="104"/>
      <c r="DA7" s="42"/>
      <c r="DB7" s="42"/>
      <c r="DC7" s="49"/>
      <c r="DD7" s="118" t="s">
        <v>141</v>
      </c>
      <c r="DE7" s="104"/>
      <c r="DF7" s="42"/>
      <c r="DG7" s="42"/>
      <c r="DH7" s="49"/>
      <c r="DI7" s="118" t="s">
        <v>141</v>
      </c>
      <c r="DJ7" s="104"/>
      <c r="DK7" s="42"/>
      <c r="DL7" s="42"/>
      <c r="DM7" s="49"/>
      <c r="DN7" s="118" t="s">
        <v>141</v>
      </c>
      <c r="DO7" s="104"/>
      <c r="DP7" s="42"/>
      <c r="DQ7" s="42"/>
      <c r="DR7" s="49"/>
      <c r="DS7" s="118" t="s">
        <v>141</v>
      </c>
      <c r="DT7" s="104"/>
      <c r="DU7" s="42"/>
      <c r="DV7" s="42"/>
      <c r="DW7" s="49"/>
      <c r="DX7" s="118" t="s">
        <v>141</v>
      </c>
      <c r="DY7" s="104"/>
      <c r="DZ7" s="42"/>
      <c r="EA7" s="42"/>
      <c r="EB7" s="49"/>
      <c r="EC7" s="118" t="s">
        <v>141</v>
      </c>
      <c r="ED7" s="104"/>
      <c r="EE7" s="42"/>
      <c r="EF7" s="42"/>
      <c r="EG7" s="49"/>
      <c r="EH7" s="118" t="s">
        <v>141</v>
      </c>
      <c r="EI7" s="104"/>
      <c r="EJ7" s="42"/>
      <c r="EK7" s="42"/>
      <c r="EL7" s="49"/>
      <c r="EM7" s="118" t="s">
        <v>141</v>
      </c>
      <c r="EN7" s="104"/>
      <c r="EO7" s="42"/>
      <c r="EP7" s="42"/>
      <c r="EQ7" s="49"/>
      <c r="ER7" s="118" t="s">
        <v>141</v>
      </c>
      <c r="ES7" s="104"/>
      <c r="ET7" s="42"/>
      <c r="EU7" s="42"/>
      <c r="EV7" s="49"/>
      <c r="EW7" s="118" t="s">
        <v>141</v>
      </c>
      <c r="EX7" s="104"/>
      <c r="EY7" s="42"/>
      <c r="EZ7" s="42"/>
      <c r="FA7" s="49"/>
      <c r="FB7" s="118" t="s">
        <v>141</v>
      </c>
      <c r="FC7" s="104"/>
      <c r="FD7" s="42"/>
      <c r="FE7" s="42"/>
      <c r="FF7" s="49"/>
      <c r="FG7" s="118" t="s">
        <v>141</v>
      </c>
      <c r="FH7" s="104"/>
      <c r="FI7" s="42"/>
      <c r="FJ7" s="42"/>
      <c r="FK7" s="49"/>
      <c r="FL7" s="118" t="s">
        <v>141</v>
      </c>
      <c r="FM7" s="104"/>
      <c r="FN7" s="42"/>
      <c r="FO7" s="42"/>
      <c r="FP7" s="49"/>
      <c r="FQ7" s="118" t="s">
        <v>141</v>
      </c>
      <c r="FR7" s="104"/>
      <c r="FS7" s="42"/>
      <c r="FT7" s="42"/>
      <c r="FU7" s="49"/>
      <c r="FV7" s="118" t="s">
        <v>141</v>
      </c>
      <c r="FW7" s="104"/>
      <c r="FX7" s="42"/>
      <c r="FY7" s="42"/>
      <c r="FZ7" s="49"/>
      <c r="GA7" s="118" t="s">
        <v>141</v>
      </c>
      <c r="GB7" s="104"/>
      <c r="GC7" s="42"/>
      <c r="GD7" s="42"/>
      <c r="GE7" s="49"/>
      <c r="GF7" s="118" t="s">
        <v>141</v>
      </c>
      <c r="GG7" s="104"/>
      <c r="GH7" s="42"/>
      <c r="GI7" s="42"/>
      <c r="GJ7" s="49"/>
      <c r="GK7" s="118" t="s">
        <v>141</v>
      </c>
      <c r="GL7" s="104"/>
      <c r="GM7" s="42"/>
      <c r="GN7" s="42"/>
      <c r="GO7" s="49"/>
      <c r="GP7" s="118" t="s">
        <v>141</v>
      </c>
      <c r="GQ7" s="104"/>
      <c r="GR7" s="42"/>
      <c r="GS7" s="42"/>
      <c r="GT7" s="49"/>
      <c r="GU7" s="118" t="s">
        <v>141</v>
      </c>
      <c r="GV7" s="104"/>
      <c r="GW7" s="42"/>
      <c r="GX7" s="42"/>
      <c r="GY7" s="49"/>
      <c r="GZ7" s="118" t="s">
        <v>141</v>
      </c>
      <c r="HA7" s="104"/>
      <c r="HB7" s="42"/>
      <c r="HC7" s="42"/>
      <c r="HD7" s="49"/>
      <c r="HE7" s="118" t="s">
        <v>141</v>
      </c>
      <c r="HF7" s="104"/>
      <c r="HG7" s="42"/>
      <c r="HH7" s="42"/>
      <c r="HI7" s="49"/>
      <c r="HJ7" s="118" t="s">
        <v>141</v>
      </c>
      <c r="HK7" s="104"/>
      <c r="HL7" s="42"/>
      <c r="HM7" s="42"/>
      <c r="HN7" s="49"/>
      <c r="HO7" s="118" t="s">
        <v>141</v>
      </c>
      <c r="HP7" s="104"/>
      <c r="HQ7" s="42"/>
      <c r="HR7" s="42"/>
      <c r="HS7" s="49"/>
      <c r="HT7" s="118" t="s">
        <v>141</v>
      </c>
      <c r="HU7" s="104"/>
      <c r="HV7" s="42"/>
      <c r="HW7" s="42"/>
      <c r="HX7" s="49"/>
      <c r="HY7" s="118" t="s">
        <v>141</v>
      </c>
      <c r="HZ7" s="104"/>
      <c r="IA7" s="42"/>
      <c r="IB7" s="42"/>
      <c r="IC7" s="49"/>
      <c r="ID7" s="118" t="s">
        <v>141</v>
      </c>
      <c r="IE7" s="104"/>
      <c r="IF7" s="42"/>
      <c r="IG7" s="42"/>
      <c r="IH7" s="49"/>
      <c r="II7" s="118" t="s">
        <v>141</v>
      </c>
      <c r="IJ7" s="104"/>
      <c r="IK7" s="42"/>
      <c r="IL7" s="42"/>
      <c r="IM7" s="49"/>
      <c r="IN7" s="118" t="s">
        <v>141</v>
      </c>
      <c r="IO7" s="104"/>
      <c r="IP7" s="42"/>
      <c r="IQ7" s="42"/>
    </row>
    <row r="8" spans="1:251" ht="13.5" thickBot="1" x14ac:dyDescent="0.25">
      <c r="A8" s="42"/>
      <c r="B8" s="42"/>
      <c r="C8" s="172" t="s">
        <v>147</v>
      </c>
      <c r="D8" s="116" t="s">
        <v>170</v>
      </c>
      <c r="E8" s="42"/>
      <c r="F8" s="42"/>
      <c r="G8" s="42"/>
      <c r="H8" s="172" t="s">
        <v>147</v>
      </c>
      <c r="I8" s="116" t="s">
        <v>170</v>
      </c>
      <c r="J8" s="42"/>
      <c r="K8" s="42"/>
      <c r="L8" s="42"/>
      <c r="M8" s="172" t="s">
        <v>147</v>
      </c>
      <c r="N8" s="116" t="s">
        <v>32</v>
      </c>
      <c r="O8" s="42"/>
      <c r="P8" s="42"/>
      <c r="Q8" s="42"/>
      <c r="R8" s="172" t="s">
        <v>147</v>
      </c>
      <c r="S8" s="116" t="s">
        <v>32</v>
      </c>
      <c r="T8" s="42"/>
      <c r="U8" s="42"/>
      <c r="V8" s="42"/>
      <c r="W8" s="172" t="s">
        <v>147</v>
      </c>
      <c r="X8" s="116"/>
      <c r="Y8" s="42"/>
      <c r="Z8" s="42"/>
      <c r="AA8" s="42"/>
      <c r="AB8" s="172" t="s">
        <v>147</v>
      </c>
      <c r="AC8" s="116"/>
      <c r="AD8" s="42"/>
      <c r="AE8" s="42"/>
      <c r="AF8" s="42"/>
      <c r="AG8" s="172" t="s">
        <v>147</v>
      </c>
      <c r="AH8" s="116"/>
      <c r="AI8" s="42"/>
      <c r="AJ8" s="42"/>
      <c r="AK8" s="42"/>
      <c r="AL8" s="172" t="s">
        <v>147</v>
      </c>
      <c r="AM8" s="116"/>
      <c r="AN8" s="42"/>
      <c r="AO8" s="42"/>
      <c r="AP8" s="42"/>
      <c r="AQ8" s="172" t="s">
        <v>147</v>
      </c>
      <c r="AR8" s="116"/>
      <c r="AS8" s="42"/>
      <c r="AT8" s="42"/>
      <c r="AU8" s="42"/>
      <c r="AV8" s="172" t="s">
        <v>147</v>
      </c>
      <c r="AW8" s="116"/>
      <c r="AX8" s="42"/>
      <c r="AY8" s="42"/>
      <c r="AZ8" s="42"/>
      <c r="BA8" s="172" t="s">
        <v>147</v>
      </c>
      <c r="BB8" s="116"/>
      <c r="BC8" s="42"/>
      <c r="BD8" s="42"/>
      <c r="BE8" s="42"/>
      <c r="BF8" s="172" t="s">
        <v>147</v>
      </c>
      <c r="BG8" s="116"/>
      <c r="BH8" s="42"/>
      <c r="BI8" s="42"/>
      <c r="BJ8" s="42"/>
      <c r="BK8" s="172" t="s">
        <v>147</v>
      </c>
      <c r="BL8" s="116"/>
      <c r="BM8" s="42"/>
      <c r="BN8" s="42"/>
      <c r="BO8" s="42"/>
      <c r="BP8" s="172" t="s">
        <v>147</v>
      </c>
      <c r="BQ8" s="116"/>
      <c r="BR8" s="42"/>
      <c r="BS8" s="42"/>
      <c r="BT8" s="42"/>
      <c r="BU8" s="172" t="s">
        <v>147</v>
      </c>
      <c r="BV8" s="116"/>
      <c r="BW8" s="42"/>
      <c r="BX8" s="42"/>
      <c r="BY8" s="42"/>
      <c r="BZ8" s="172" t="s">
        <v>147</v>
      </c>
      <c r="CA8" s="116"/>
      <c r="CB8" s="42"/>
      <c r="CC8" s="42"/>
      <c r="CD8" s="42"/>
      <c r="CE8" s="172" t="s">
        <v>147</v>
      </c>
      <c r="CF8" s="116"/>
      <c r="CG8" s="42"/>
      <c r="CH8" s="42"/>
      <c r="CI8" s="42"/>
      <c r="CJ8" s="172" t="s">
        <v>147</v>
      </c>
      <c r="CK8" s="116"/>
      <c r="CL8" s="42"/>
      <c r="CM8" s="42"/>
      <c r="CN8" s="42"/>
      <c r="CO8" s="172" t="s">
        <v>147</v>
      </c>
      <c r="CP8" s="116"/>
      <c r="CQ8" s="42"/>
      <c r="CR8" s="42"/>
      <c r="CS8" s="42"/>
      <c r="CT8" s="172" t="s">
        <v>147</v>
      </c>
      <c r="CU8" s="116"/>
      <c r="CV8" s="42"/>
      <c r="CW8" s="42"/>
      <c r="CX8" s="42"/>
      <c r="CY8" s="172" t="s">
        <v>147</v>
      </c>
      <c r="CZ8" s="116"/>
      <c r="DA8" s="42"/>
      <c r="DB8" s="42"/>
      <c r="DC8" s="42"/>
      <c r="DD8" s="172" t="s">
        <v>147</v>
      </c>
      <c r="DE8" s="116"/>
      <c r="DF8" s="42"/>
      <c r="DG8" s="42"/>
      <c r="DH8" s="42"/>
      <c r="DI8" s="172" t="s">
        <v>147</v>
      </c>
      <c r="DJ8" s="116"/>
      <c r="DK8" s="42"/>
      <c r="DL8" s="42"/>
      <c r="DM8" s="42"/>
      <c r="DN8" s="172" t="s">
        <v>147</v>
      </c>
      <c r="DO8" s="116"/>
      <c r="DP8" s="42"/>
      <c r="DQ8" s="42"/>
      <c r="DR8" s="42"/>
      <c r="DS8" s="172" t="s">
        <v>147</v>
      </c>
      <c r="DT8" s="116"/>
      <c r="DU8" s="42"/>
      <c r="DV8" s="42"/>
      <c r="DW8" s="42"/>
      <c r="DX8" s="172" t="s">
        <v>147</v>
      </c>
      <c r="DY8" s="116"/>
      <c r="DZ8" s="42"/>
      <c r="EA8" s="42"/>
      <c r="EB8" s="42"/>
      <c r="EC8" s="172" t="s">
        <v>147</v>
      </c>
      <c r="ED8" s="116"/>
      <c r="EE8" s="42"/>
      <c r="EF8" s="42"/>
      <c r="EG8" s="42"/>
      <c r="EH8" s="172" t="s">
        <v>147</v>
      </c>
      <c r="EI8" s="116"/>
      <c r="EJ8" s="42"/>
      <c r="EK8" s="42"/>
      <c r="EL8" s="42"/>
      <c r="EM8" s="172" t="s">
        <v>147</v>
      </c>
      <c r="EN8" s="116"/>
      <c r="EO8" s="42"/>
      <c r="EP8" s="42"/>
      <c r="EQ8" s="42"/>
      <c r="ER8" s="172" t="s">
        <v>147</v>
      </c>
      <c r="ES8" s="116"/>
      <c r="ET8" s="42"/>
      <c r="EU8" s="42"/>
      <c r="EV8" s="42"/>
      <c r="EW8" s="172" t="s">
        <v>147</v>
      </c>
      <c r="EX8" s="116"/>
      <c r="EY8" s="42"/>
      <c r="EZ8" s="42"/>
      <c r="FA8" s="42"/>
      <c r="FB8" s="172" t="s">
        <v>147</v>
      </c>
      <c r="FC8" s="116"/>
      <c r="FD8" s="42"/>
      <c r="FE8" s="42"/>
      <c r="FF8" s="42"/>
      <c r="FG8" s="172" t="s">
        <v>147</v>
      </c>
      <c r="FH8" s="116"/>
      <c r="FI8" s="42"/>
      <c r="FJ8" s="42"/>
      <c r="FK8" s="42"/>
      <c r="FL8" s="172" t="s">
        <v>147</v>
      </c>
      <c r="FM8" s="116"/>
      <c r="FN8" s="42"/>
      <c r="FO8" s="42"/>
      <c r="FP8" s="42"/>
      <c r="FQ8" s="172" t="s">
        <v>147</v>
      </c>
      <c r="FR8" s="116"/>
      <c r="FS8" s="42"/>
      <c r="FT8" s="42"/>
      <c r="FU8" s="42"/>
      <c r="FV8" s="172" t="s">
        <v>147</v>
      </c>
      <c r="FW8" s="116"/>
      <c r="FX8" s="42"/>
      <c r="FY8" s="42"/>
      <c r="FZ8" s="42"/>
      <c r="GA8" s="172" t="s">
        <v>147</v>
      </c>
      <c r="GB8" s="116"/>
      <c r="GC8" s="42"/>
      <c r="GD8" s="42"/>
      <c r="GE8" s="42"/>
      <c r="GF8" s="172" t="s">
        <v>147</v>
      </c>
      <c r="GG8" s="116"/>
      <c r="GH8" s="42"/>
      <c r="GI8" s="42"/>
      <c r="GJ8" s="42"/>
      <c r="GK8" s="172" t="s">
        <v>147</v>
      </c>
      <c r="GL8" s="116"/>
      <c r="GM8" s="42"/>
      <c r="GN8" s="42"/>
      <c r="GO8" s="42"/>
      <c r="GP8" s="172" t="s">
        <v>147</v>
      </c>
      <c r="GQ8" s="116"/>
      <c r="GR8" s="42"/>
      <c r="GS8" s="42"/>
      <c r="GT8" s="42"/>
      <c r="GU8" s="172" t="s">
        <v>147</v>
      </c>
      <c r="GV8" s="116"/>
      <c r="GW8" s="42"/>
      <c r="GX8" s="42"/>
      <c r="GY8" s="42"/>
      <c r="GZ8" s="172" t="s">
        <v>147</v>
      </c>
      <c r="HA8" s="116"/>
      <c r="HB8" s="42"/>
      <c r="HC8" s="42"/>
      <c r="HD8" s="42"/>
      <c r="HE8" s="172" t="s">
        <v>147</v>
      </c>
      <c r="HF8" s="116"/>
      <c r="HG8" s="42"/>
      <c r="HH8" s="42"/>
      <c r="HI8" s="42"/>
      <c r="HJ8" s="172" t="s">
        <v>147</v>
      </c>
      <c r="HK8" s="116"/>
      <c r="HL8" s="42"/>
      <c r="HM8" s="42"/>
      <c r="HN8" s="42"/>
      <c r="HO8" s="172" t="s">
        <v>147</v>
      </c>
      <c r="HP8" s="116"/>
      <c r="HQ8" s="42"/>
      <c r="HR8" s="42"/>
      <c r="HS8" s="42"/>
      <c r="HT8" s="172" t="s">
        <v>147</v>
      </c>
      <c r="HU8" s="116"/>
      <c r="HV8" s="42"/>
      <c r="HW8" s="42"/>
      <c r="HX8" s="42"/>
      <c r="HY8" s="172" t="s">
        <v>147</v>
      </c>
      <c r="HZ8" s="116"/>
      <c r="IA8" s="42"/>
      <c r="IB8" s="42"/>
      <c r="IC8" s="42"/>
      <c r="ID8" s="172" t="s">
        <v>147</v>
      </c>
      <c r="IE8" s="116"/>
      <c r="IF8" s="42"/>
      <c r="IG8" s="42"/>
      <c r="IH8" s="42"/>
      <c r="II8" s="172" t="s">
        <v>147</v>
      </c>
      <c r="IJ8" s="116"/>
      <c r="IK8" s="42"/>
      <c r="IL8" s="42"/>
      <c r="IM8" s="42"/>
      <c r="IN8" s="172" t="s">
        <v>147</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144</v>
      </c>
      <c r="C10" s="173" t="s">
        <v>148</v>
      </c>
      <c r="D10" s="174" t="s">
        <v>149</v>
      </c>
      <c r="E10" s="146" t="s">
        <v>150</v>
      </c>
      <c r="F10" s="42"/>
      <c r="G10" s="146" t="s">
        <v>144</v>
      </c>
      <c r="H10" s="173" t="s">
        <v>148</v>
      </c>
      <c r="I10" s="174" t="s">
        <v>149</v>
      </c>
      <c r="J10" s="146" t="s">
        <v>150</v>
      </c>
      <c r="K10" s="42"/>
      <c r="L10" s="146" t="s">
        <v>144</v>
      </c>
      <c r="M10" s="173" t="s">
        <v>148</v>
      </c>
      <c r="N10" s="174" t="s">
        <v>149</v>
      </c>
      <c r="O10" s="146" t="s">
        <v>150</v>
      </c>
      <c r="P10" s="42"/>
      <c r="Q10" s="146" t="s">
        <v>144</v>
      </c>
      <c r="R10" s="173" t="s">
        <v>148</v>
      </c>
      <c r="S10" s="174" t="s">
        <v>149</v>
      </c>
      <c r="T10" s="146" t="s">
        <v>150</v>
      </c>
      <c r="U10" s="42"/>
      <c r="V10" s="146" t="s">
        <v>144</v>
      </c>
      <c r="W10" s="173" t="s">
        <v>148</v>
      </c>
      <c r="X10" s="174" t="s">
        <v>149</v>
      </c>
      <c r="Y10" s="146" t="s">
        <v>150</v>
      </c>
      <c r="Z10" s="42"/>
      <c r="AA10" s="146" t="s">
        <v>144</v>
      </c>
      <c r="AB10" s="173" t="s">
        <v>148</v>
      </c>
      <c r="AC10" s="174" t="s">
        <v>149</v>
      </c>
      <c r="AD10" s="146" t="s">
        <v>150</v>
      </c>
      <c r="AE10" s="42"/>
      <c r="AF10" s="146" t="s">
        <v>144</v>
      </c>
      <c r="AG10" s="173" t="s">
        <v>148</v>
      </c>
      <c r="AH10" s="174" t="s">
        <v>149</v>
      </c>
      <c r="AI10" s="146" t="s">
        <v>150</v>
      </c>
      <c r="AJ10" s="42"/>
      <c r="AK10" s="146" t="s">
        <v>144</v>
      </c>
      <c r="AL10" s="173" t="s">
        <v>148</v>
      </c>
      <c r="AM10" s="174" t="s">
        <v>149</v>
      </c>
      <c r="AN10" s="146" t="s">
        <v>150</v>
      </c>
      <c r="AO10" s="42"/>
      <c r="AP10" s="146" t="s">
        <v>144</v>
      </c>
      <c r="AQ10" s="173" t="s">
        <v>148</v>
      </c>
      <c r="AR10" s="174" t="s">
        <v>149</v>
      </c>
      <c r="AS10" s="146" t="s">
        <v>150</v>
      </c>
      <c r="AT10" s="42"/>
      <c r="AU10" s="146" t="s">
        <v>144</v>
      </c>
      <c r="AV10" s="173" t="s">
        <v>148</v>
      </c>
      <c r="AW10" s="174" t="s">
        <v>149</v>
      </c>
      <c r="AX10" s="146" t="s">
        <v>150</v>
      </c>
      <c r="AY10" s="42"/>
      <c r="AZ10" s="146" t="s">
        <v>144</v>
      </c>
      <c r="BA10" s="173" t="s">
        <v>148</v>
      </c>
      <c r="BB10" s="174" t="s">
        <v>149</v>
      </c>
      <c r="BC10" s="146" t="s">
        <v>150</v>
      </c>
      <c r="BD10" s="42"/>
      <c r="BE10" s="146" t="s">
        <v>144</v>
      </c>
      <c r="BF10" s="173" t="s">
        <v>148</v>
      </c>
      <c r="BG10" s="174" t="s">
        <v>149</v>
      </c>
      <c r="BH10" s="146" t="s">
        <v>150</v>
      </c>
      <c r="BI10" s="42"/>
      <c r="BJ10" s="146" t="s">
        <v>144</v>
      </c>
      <c r="BK10" s="173" t="s">
        <v>148</v>
      </c>
      <c r="BL10" s="174" t="s">
        <v>149</v>
      </c>
      <c r="BM10" s="146" t="s">
        <v>150</v>
      </c>
      <c r="BN10" s="42"/>
      <c r="BO10" s="146" t="s">
        <v>144</v>
      </c>
      <c r="BP10" s="173" t="s">
        <v>148</v>
      </c>
      <c r="BQ10" s="174" t="s">
        <v>149</v>
      </c>
      <c r="BR10" s="146" t="s">
        <v>150</v>
      </c>
      <c r="BS10" s="42"/>
      <c r="BT10" s="146" t="s">
        <v>144</v>
      </c>
      <c r="BU10" s="173" t="s">
        <v>148</v>
      </c>
      <c r="BV10" s="174" t="s">
        <v>149</v>
      </c>
      <c r="BW10" s="146" t="s">
        <v>150</v>
      </c>
      <c r="BX10" s="42"/>
      <c r="BY10" s="146" t="s">
        <v>144</v>
      </c>
      <c r="BZ10" s="173" t="s">
        <v>148</v>
      </c>
      <c r="CA10" s="174" t="s">
        <v>149</v>
      </c>
      <c r="CB10" s="146" t="s">
        <v>150</v>
      </c>
      <c r="CC10" s="42"/>
      <c r="CD10" s="146" t="s">
        <v>144</v>
      </c>
      <c r="CE10" s="173" t="s">
        <v>148</v>
      </c>
      <c r="CF10" s="174" t="s">
        <v>149</v>
      </c>
      <c r="CG10" s="146" t="s">
        <v>150</v>
      </c>
      <c r="CH10" s="42"/>
      <c r="CI10" s="146" t="s">
        <v>144</v>
      </c>
      <c r="CJ10" s="173" t="s">
        <v>148</v>
      </c>
      <c r="CK10" s="174" t="s">
        <v>149</v>
      </c>
      <c r="CL10" s="146" t="s">
        <v>150</v>
      </c>
      <c r="CM10" s="42"/>
      <c r="CN10" s="146" t="s">
        <v>144</v>
      </c>
      <c r="CO10" s="173" t="s">
        <v>148</v>
      </c>
      <c r="CP10" s="174" t="s">
        <v>149</v>
      </c>
      <c r="CQ10" s="146" t="s">
        <v>150</v>
      </c>
      <c r="CR10" s="42"/>
      <c r="CS10" s="146" t="s">
        <v>144</v>
      </c>
      <c r="CT10" s="173" t="s">
        <v>148</v>
      </c>
      <c r="CU10" s="174" t="s">
        <v>149</v>
      </c>
      <c r="CV10" s="146" t="s">
        <v>150</v>
      </c>
      <c r="CW10" s="42"/>
      <c r="CX10" s="146" t="s">
        <v>144</v>
      </c>
      <c r="CY10" s="173" t="s">
        <v>148</v>
      </c>
      <c r="CZ10" s="174" t="s">
        <v>149</v>
      </c>
      <c r="DA10" s="146" t="s">
        <v>150</v>
      </c>
      <c r="DB10" s="42"/>
      <c r="DC10" s="146" t="s">
        <v>144</v>
      </c>
      <c r="DD10" s="173" t="s">
        <v>148</v>
      </c>
      <c r="DE10" s="174" t="s">
        <v>149</v>
      </c>
      <c r="DF10" s="146" t="s">
        <v>150</v>
      </c>
      <c r="DG10" s="42"/>
      <c r="DH10" s="146" t="s">
        <v>144</v>
      </c>
      <c r="DI10" s="173" t="s">
        <v>148</v>
      </c>
      <c r="DJ10" s="174" t="s">
        <v>149</v>
      </c>
      <c r="DK10" s="146" t="s">
        <v>150</v>
      </c>
      <c r="DL10" s="42"/>
      <c r="DM10" s="146" t="s">
        <v>144</v>
      </c>
      <c r="DN10" s="173" t="s">
        <v>148</v>
      </c>
      <c r="DO10" s="174" t="s">
        <v>149</v>
      </c>
      <c r="DP10" s="146" t="s">
        <v>150</v>
      </c>
      <c r="DQ10" s="42"/>
      <c r="DR10" s="146" t="s">
        <v>144</v>
      </c>
      <c r="DS10" s="173" t="s">
        <v>148</v>
      </c>
      <c r="DT10" s="174" t="s">
        <v>149</v>
      </c>
      <c r="DU10" s="146" t="s">
        <v>150</v>
      </c>
      <c r="DV10" s="42"/>
      <c r="DW10" s="146" t="s">
        <v>144</v>
      </c>
      <c r="DX10" s="173" t="s">
        <v>148</v>
      </c>
      <c r="DY10" s="174" t="s">
        <v>149</v>
      </c>
      <c r="DZ10" s="146" t="s">
        <v>150</v>
      </c>
      <c r="EA10" s="42"/>
      <c r="EB10" s="146" t="s">
        <v>144</v>
      </c>
      <c r="EC10" s="173" t="s">
        <v>148</v>
      </c>
      <c r="ED10" s="174" t="s">
        <v>149</v>
      </c>
      <c r="EE10" s="146" t="s">
        <v>150</v>
      </c>
      <c r="EF10" s="42"/>
      <c r="EG10" s="146" t="s">
        <v>144</v>
      </c>
      <c r="EH10" s="173" t="s">
        <v>148</v>
      </c>
      <c r="EI10" s="174" t="s">
        <v>149</v>
      </c>
      <c r="EJ10" s="146" t="s">
        <v>150</v>
      </c>
      <c r="EK10" s="42"/>
      <c r="EL10" s="146" t="s">
        <v>144</v>
      </c>
      <c r="EM10" s="173" t="s">
        <v>148</v>
      </c>
      <c r="EN10" s="174" t="s">
        <v>149</v>
      </c>
      <c r="EO10" s="146" t="s">
        <v>150</v>
      </c>
      <c r="EP10" s="42"/>
      <c r="EQ10" s="146" t="s">
        <v>144</v>
      </c>
      <c r="ER10" s="173" t="s">
        <v>148</v>
      </c>
      <c r="ES10" s="174" t="s">
        <v>149</v>
      </c>
      <c r="ET10" s="146" t="s">
        <v>150</v>
      </c>
      <c r="EU10" s="42"/>
      <c r="EV10" s="146" t="s">
        <v>144</v>
      </c>
      <c r="EW10" s="173" t="s">
        <v>148</v>
      </c>
      <c r="EX10" s="174" t="s">
        <v>149</v>
      </c>
      <c r="EY10" s="146" t="s">
        <v>150</v>
      </c>
      <c r="EZ10" s="42"/>
      <c r="FA10" s="146" t="s">
        <v>144</v>
      </c>
      <c r="FB10" s="173" t="s">
        <v>148</v>
      </c>
      <c r="FC10" s="174" t="s">
        <v>149</v>
      </c>
      <c r="FD10" s="146" t="s">
        <v>150</v>
      </c>
      <c r="FE10" s="42"/>
      <c r="FF10" s="146" t="s">
        <v>144</v>
      </c>
      <c r="FG10" s="173" t="s">
        <v>148</v>
      </c>
      <c r="FH10" s="174" t="s">
        <v>149</v>
      </c>
      <c r="FI10" s="146" t="s">
        <v>150</v>
      </c>
      <c r="FJ10" s="42"/>
      <c r="FK10" s="146" t="s">
        <v>144</v>
      </c>
      <c r="FL10" s="173" t="s">
        <v>148</v>
      </c>
      <c r="FM10" s="174" t="s">
        <v>149</v>
      </c>
      <c r="FN10" s="146" t="s">
        <v>150</v>
      </c>
      <c r="FO10" s="42"/>
      <c r="FP10" s="146" t="s">
        <v>144</v>
      </c>
      <c r="FQ10" s="173" t="s">
        <v>148</v>
      </c>
      <c r="FR10" s="174" t="s">
        <v>149</v>
      </c>
      <c r="FS10" s="146" t="s">
        <v>150</v>
      </c>
      <c r="FT10" s="42"/>
      <c r="FU10" s="146" t="s">
        <v>144</v>
      </c>
      <c r="FV10" s="173" t="s">
        <v>148</v>
      </c>
      <c r="FW10" s="174" t="s">
        <v>149</v>
      </c>
      <c r="FX10" s="146" t="s">
        <v>150</v>
      </c>
      <c r="FY10" s="42"/>
      <c r="FZ10" s="146" t="s">
        <v>144</v>
      </c>
      <c r="GA10" s="173" t="s">
        <v>148</v>
      </c>
      <c r="GB10" s="174" t="s">
        <v>149</v>
      </c>
      <c r="GC10" s="146" t="s">
        <v>150</v>
      </c>
      <c r="GD10" s="42"/>
      <c r="GE10" s="146" t="s">
        <v>144</v>
      </c>
      <c r="GF10" s="173" t="s">
        <v>148</v>
      </c>
      <c r="GG10" s="174" t="s">
        <v>149</v>
      </c>
      <c r="GH10" s="146" t="s">
        <v>150</v>
      </c>
      <c r="GI10" s="42"/>
      <c r="GJ10" s="146" t="s">
        <v>144</v>
      </c>
      <c r="GK10" s="173" t="s">
        <v>148</v>
      </c>
      <c r="GL10" s="174" t="s">
        <v>149</v>
      </c>
      <c r="GM10" s="146" t="s">
        <v>150</v>
      </c>
      <c r="GN10" s="42"/>
      <c r="GO10" s="146" t="s">
        <v>144</v>
      </c>
      <c r="GP10" s="173" t="s">
        <v>148</v>
      </c>
      <c r="GQ10" s="174" t="s">
        <v>149</v>
      </c>
      <c r="GR10" s="146" t="s">
        <v>150</v>
      </c>
      <c r="GS10" s="42"/>
      <c r="GT10" s="146" t="s">
        <v>144</v>
      </c>
      <c r="GU10" s="173" t="s">
        <v>148</v>
      </c>
      <c r="GV10" s="174" t="s">
        <v>149</v>
      </c>
      <c r="GW10" s="146" t="s">
        <v>150</v>
      </c>
      <c r="GX10" s="42"/>
      <c r="GY10" s="146" t="s">
        <v>144</v>
      </c>
      <c r="GZ10" s="173" t="s">
        <v>148</v>
      </c>
      <c r="HA10" s="174" t="s">
        <v>149</v>
      </c>
      <c r="HB10" s="146" t="s">
        <v>150</v>
      </c>
      <c r="HC10" s="42"/>
      <c r="HD10" s="146" t="s">
        <v>144</v>
      </c>
      <c r="HE10" s="173" t="s">
        <v>148</v>
      </c>
      <c r="HF10" s="174" t="s">
        <v>149</v>
      </c>
      <c r="HG10" s="146" t="s">
        <v>150</v>
      </c>
      <c r="HH10" s="42"/>
      <c r="HI10" s="146" t="s">
        <v>144</v>
      </c>
      <c r="HJ10" s="173" t="s">
        <v>148</v>
      </c>
      <c r="HK10" s="174" t="s">
        <v>149</v>
      </c>
      <c r="HL10" s="146" t="s">
        <v>150</v>
      </c>
      <c r="HM10" s="42"/>
      <c r="HN10" s="146" t="s">
        <v>144</v>
      </c>
      <c r="HO10" s="173" t="s">
        <v>148</v>
      </c>
      <c r="HP10" s="174" t="s">
        <v>149</v>
      </c>
      <c r="HQ10" s="146" t="s">
        <v>150</v>
      </c>
      <c r="HR10" s="42"/>
      <c r="HS10" s="146" t="s">
        <v>144</v>
      </c>
      <c r="HT10" s="173" t="s">
        <v>148</v>
      </c>
      <c r="HU10" s="174" t="s">
        <v>149</v>
      </c>
      <c r="HV10" s="146" t="s">
        <v>150</v>
      </c>
      <c r="HW10" s="42"/>
      <c r="HX10" s="146" t="s">
        <v>144</v>
      </c>
      <c r="HY10" s="173" t="s">
        <v>148</v>
      </c>
      <c r="HZ10" s="174" t="s">
        <v>149</v>
      </c>
      <c r="IA10" s="146" t="s">
        <v>150</v>
      </c>
      <c r="IB10" s="42"/>
      <c r="IC10" s="146" t="s">
        <v>144</v>
      </c>
      <c r="ID10" s="173" t="s">
        <v>148</v>
      </c>
      <c r="IE10" s="174" t="s">
        <v>149</v>
      </c>
      <c r="IF10" s="146" t="s">
        <v>150</v>
      </c>
      <c r="IG10" s="42"/>
      <c r="IH10" s="146" t="s">
        <v>144</v>
      </c>
      <c r="II10" s="173" t="s">
        <v>148</v>
      </c>
      <c r="IJ10" s="174" t="s">
        <v>149</v>
      </c>
      <c r="IK10" s="146" t="s">
        <v>150</v>
      </c>
      <c r="IL10" s="42"/>
      <c r="IM10" s="146" t="s">
        <v>144</v>
      </c>
      <c r="IN10" s="173" t="s">
        <v>148</v>
      </c>
      <c r="IO10" s="174" t="s">
        <v>149</v>
      </c>
      <c r="IP10" s="146" t="s">
        <v>150</v>
      </c>
      <c r="IQ10" s="42"/>
    </row>
    <row r="11" spans="1:251" x14ac:dyDescent="0.2">
      <c r="A11" s="42"/>
      <c r="B11" s="107" t="s">
        <v>171</v>
      </c>
      <c r="C11" s="104">
        <v>1</v>
      </c>
      <c r="D11" s="54"/>
      <c r="E11" s="53"/>
      <c r="F11" s="74"/>
      <c r="G11" s="107" t="s">
        <v>171</v>
      </c>
      <c r="H11" s="104">
        <v>1</v>
      </c>
      <c r="I11" s="54"/>
      <c r="J11" s="53"/>
      <c r="K11" s="74"/>
      <c r="L11" s="107" t="s">
        <v>169</v>
      </c>
      <c r="M11" s="104">
        <v>1</v>
      </c>
      <c r="N11" s="54"/>
      <c r="O11" s="53"/>
      <c r="P11" s="74"/>
      <c r="Q11" s="107" t="s">
        <v>169</v>
      </c>
      <c r="R11" s="104">
        <v>1</v>
      </c>
      <c r="S11" s="54"/>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2" spans="9:13" x14ac:dyDescent="0.2">
      <c r="I42" s="58"/>
      <c r="J42" s="58"/>
    </row>
  </sheetData>
  <phoneticPr fontId="0" type="noConversion"/>
  <dataValidations count="49">
    <dataValidation type="list" allowBlank="1" sqref="L12:L20 IM11:IM20 IH11:IH20 IC11:IC20 HX11:HX20 HS11:HS20 HN11:HN20 HI11:HI20 HD11:HD20 GY11:GY20 GT11:GT20 GO11:GO20 GJ11:GJ20 GE11:GE20 FZ11:FZ20 FU11:FU20 FP11:FP20 FK11:FK20 FF11:FF20 FA11:FA20 EV11:EV20 EQ11:EQ20 EL11:EL20 EG11:EG20 EB11:EB20 DW11:DW20 DR11:DR20 DM11:DM20 DH11:DH20 DC11:DC20 CX11:CX20 CS11:CS20 CN11:CN20 CI11:CI20 CD11:CD20 BY11:BY20 BT11:BT20 BO11:BO20 BJ11:BJ20 BE11:BE20 AZ11:AZ20 AU11:AU20 AP11:AP20 AK11:AK20 AF11:AF20 AA11:AA20 V11:V20 AH7 X7 AC7 B12:B20 IO7 IJ7 IE7 HZ7 HU7 HP7 HK7 HF7 HA7 GV7 GQ7 GL7 GG7 GB7 FW7 FR7 FM7 FH7 FC7 EX7 ES7 EN7 EI7 ED7 DY7 DT7 DO7 DJ7 DE7 CZ7 CU7 CP7 CK7 CF7 CA7 BV7 BQ7 BL7 BG7 BB7 AW7 AR7 AM7 Q12:Q20">
      <formula1>NameLabelRange</formula1>
    </dataValidation>
    <dataValidation type="list" allowBlank="1" sqref="X8 IO8 IJ8 IE8 HZ8 HU8 HP8 HK8 HF8 HA8 GV8 GQ8 GL8 GG8 GB8 FW8 FR8 FM8 FH8 FC8 EX8 ES8 EN8 EI8 ED8 DY8 DT8 DO8 DJ8 DE8 CZ8 CU8 CP8 CK8 CF8 CA8 BV8 BQ8 BL8 BG8 BB8 AW8 AR8 AM8 AH8 AC8">
      <formula1>DistributionsWorkStations</formula1>
    </dataValidation>
    <dataValidation type="list" allowBlank="1" sqref="IN11:IN20 II11:II20 ID11:ID20 HY11:HY20 HT11:HT20 HO11:HO20 HJ11:HJ20 HE11:HE20 GZ11:GZ20 GU11:GU20 GP11:GP20 GK11:GK20 GF11:GF20 GA11:GA20 FV11:FV20 FQ11:FQ20 FL11:FL20 FG11:FG20 FB11:FB20 EW11:EW20 ER11:ER20 EM11:EM20 EH11:EH20 EC11:EC20 DX11:DX20 DS11:DS20 DN11:DN20 DI11:DI20 DD11:DD20 CY11:CY20 CT11:CT20 CO11:CO20 CJ11:CJ20 CE11:CE20 BZ11:BZ20 BU11:BU20 BP11:BP20 BK11:BK20 BF11:BF20 BA11:BA20 AV11:AV20 AQ11:AQ20 AL11:AL20 AG11:AG20 AB11:AB20 W11:W20 M12:M20 C12:C20 R12:R20">
      <formula1>WSNumOutputObjects</formula1>
    </dataValidation>
    <dataValidation type="list" allowBlank="1" sqref="IO11:IO20 IJ11:IJ20 IE11:IE20 HZ11:HZ20 HU11:HU20 HP11:HP20 HK11:HK20 HF11:HF20 HA11:HA20 GV11:GV20 GQ11:GQ20 GL11:GL20 GG11:GG20 GB11:GB20 FW11:FW20 FR11:FR20 FM11:FM20 FH11:FH20 FC11:FC20 EX11:EX20 ES11:ES20 EN11:EN20 EI11:EI20 ED11:ED20 DY11:DY20 DT11:DT20 DO11:DO20 DJ11:DJ20 DE11:DE20 CZ11:CZ20 CU11:CU20 CP11:CP20 CK11:CK20 CF11:CF20 CA11:CA20 BV11:BV20 BQ11:BQ20 BL11:BL20 BG11:BG20 BB11:BB20 AW11:AW20 AR11:AR20 AM11:AM20 AH11:AH20 AC11:AC20 X11:X20 N12:N20 D11:D20 S12:S20">
      <formula1>Resources</formula1>
    </dataValidation>
    <dataValidation type="list" allowBlank="1" sqref="D7 B11">
      <formula1>NameLabelRange</formula1>
    </dataValidation>
    <dataValidation type="list" allowBlank="1" sqref="D8">
      <formula1>DistributionsWorkStations</formula1>
    </dataValidation>
    <dataValidation type="list" allowBlank="1" sqref="C11">
      <formula1>WSNumOutputObjects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8">
      <formula1>DistributionsWorkStations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I7">
      <formula1>NameLabelRange</formula1>
    </dataValidation>
    <dataValidation type="list" allowBlank="1" sqref="M11">
      <formula1>WSNumOutputObjects</formula1>
    </dataValidation>
    <dataValidation type="list" allowBlank="1" sqref="N11">
      <formula1>Resources</formula1>
    </dataValidation>
    <dataValidation type="list" allowBlank="1" sqref="N7">
      <formula1>NameLabelRange</formula1>
    </dataValidation>
    <dataValidation type="list" allowBlank="1" sqref="N8">
      <formula1>DistributionsWorkStations</formula1>
    </dataValidation>
    <dataValidation type="list" allowBlank="1" sqref="L11">
      <formula1>NameLabelRange</formula1>
    </dataValidation>
    <dataValidation type="list" allowBlank="1" sqref="Q11">
      <formula1>NameLabelRange</formula1>
    </dataValidation>
    <dataValidation type="list" allowBlank="1" sqref="R11">
      <formula1>WSNumOutputObjects</formula1>
    </dataValidation>
    <dataValidation type="list" allowBlank="1" sqref="S8">
      <formula1>DistributionsWorkStations</formula1>
    </dataValidation>
    <dataValidation type="list" allowBlank="1" sqref="S11">
      <formula1>Resources</formula1>
    </dataValidation>
    <dataValidation type="list" allowBlank="1" sqref="S7">
      <formula1>NameLabelRange</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H12" sqref="H1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141</v>
      </c>
      <c r="C7" s="104" t="s">
        <v>163</v>
      </c>
      <c r="D7" s="3"/>
      <c r="E7" s="118" t="s">
        <v>141</v>
      </c>
      <c r="F7" s="104" t="s">
        <v>166</v>
      </c>
      <c r="G7" s="3"/>
      <c r="H7" s="118" t="s">
        <v>141</v>
      </c>
      <c r="I7" s="104" t="s">
        <v>169</v>
      </c>
      <c r="J7" s="3"/>
      <c r="K7" s="118" t="s">
        <v>141</v>
      </c>
      <c r="L7" s="104"/>
      <c r="M7" s="3"/>
      <c r="N7" s="118" t="s">
        <v>141</v>
      </c>
      <c r="O7" s="104"/>
      <c r="P7" s="3"/>
      <c r="Q7" s="118" t="s">
        <v>141</v>
      </c>
      <c r="R7" s="104"/>
      <c r="S7" s="3"/>
      <c r="T7" s="118" t="s">
        <v>141</v>
      </c>
      <c r="U7" s="104"/>
      <c r="V7" s="3"/>
      <c r="W7" s="118" t="s">
        <v>141</v>
      </c>
      <c r="X7" s="104"/>
      <c r="Y7" s="3"/>
      <c r="Z7" s="118" t="s">
        <v>141</v>
      </c>
      <c r="AA7" s="104"/>
      <c r="AB7" s="3"/>
      <c r="AC7" s="118" t="s">
        <v>141</v>
      </c>
      <c r="AD7" s="104"/>
      <c r="AE7" s="3"/>
      <c r="AF7" s="118" t="s">
        <v>141</v>
      </c>
      <c r="AG7" s="104"/>
      <c r="AH7" s="3"/>
      <c r="AI7" s="118" t="s">
        <v>141</v>
      </c>
      <c r="AJ7" s="104"/>
      <c r="AK7" s="3"/>
      <c r="AL7" s="118" t="s">
        <v>141</v>
      </c>
      <c r="AM7" s="104"/>
      <c r="AN7" s="3"/>
      <c r="AO7" s="118" t="s">
        <v>141</v>
      </c>
      <c r="AP7" s="104"/>
      <c r="AQ7" s="3"/>
      <c r="AR7" s="118" t="s">
        <v>141</v>
      </c>
      <c r="AS7" s="104"/>
      <c r="AT7" s="3"/>
      <c r="AU7" s="118" t="s">
        <v>141</v>
      </c>
      <c r="AV7" s="104"/>
      <c r="AW7" s="3"/>
      <c r="AX7" s="118" t="s">
        <v>141</v>
      </c>
      <c r="AY7" s="104"/>
      <c r="AZ7" s="3"/>
      <c r="BA7" s="118" t="s">
        <v>141</v>
      </c>
      <c r="BB7" s="104"/>
      <c r="BC7" s="3"/>
      <c r="BD7" s="118" t="s">
        <v>141</v>
      </c>
      <c r="BE7" s="104"/>
      <c r="BF7" s="3"/>
      <c r="BG7" s="118" t="s">
        <v>141</v>
      </c>
      <c r="BH7" s="104"/>
      <c r="BI7" s="3"/>
      <c r="BJ7" s="118" t="s">
        <v>141</v>
      </c>
      <c r="BK7" s="104"/>
      <c r="BL7" s="3"/>
      <c r="BM7" s="118" t="s">
        <v>141</v>
      </c>
      <c r="BN7" s="104"/>
      <c r="BO7" s="3"/>
      <c r="BP7" s="118" t="s">
        <v>141</v>
      </c>
      <c r="BQ7" s="104"/>
      <c r="BR7" s="3"/>
      <c r="BS7" s="118" t="s">
        <v>141</v>
      </c>
      <c r="BT7" s="104"/>
      <c r="BU7" s="3"/>
      <c r="BV7" s="118" t="s">
        <v>141</v>
      </c>
      <c r="BW7" s="104"/>
      <c r="BX7" s="3"/>
      <c r="BY7" s="118" t="s">
        <v>141</v>
      </c>
      <c r="BZ7" s="104"/>
      <c r="CA7" s="3"/>
      <c r="CB7" s="118" t="s">
        <v>141</v>
      </c>
      <c r="CC7" s="104"/>
      <c r="CD7" s="3"/>
      <c r="CE7" s="118" t="s">
        <v>141</v>
      </c>
      <c r="CF7" s="104"/>
      <c r="CG7" s="3"/>
      <c r="CH7" s="118" t="s">
        <v>141</v>
      </c>
      <c r="CI7" s="104"/>
      <c r="CJ7" s="3"/>
      <c r="CK7" s="118" t="s">
        <v>141</v>
      </c>
      <c r="CL7" s="104"/>
      <c r="CM7" s="3"/>
      <c r="CN7" s="118" t="s">
        <v>141</v>
      </c>
      <c r="CO7" s="104"/>
      <c r="CP7" s="3"/>
      <c r="CQ7" s="118" t="s">
        <v>141</v>
      </c>
      <c r="CR7" s="104"/>
      <c r="CS7" s="3"/>
      <c r="CT7" s="118" t="s">
        <v>141</v>
      </c>
      <c r="CU7" s="104"/>
      <c r="CV7" s="3"/>
      <c r="CW7" s="118" t="s">
        <v>141</v>
      </c>
      <c r="CX7" s="104"/>
      <c r="CY7" s="3"/>
      <c r="CZ7" s="118" t="s">
        <v>141</v>
      </c>
      <c r="DA7" s="104"/>
      <c r="DB7" s="3"/>
      <c r="DC7" s="118" t="s">
        <v>141</v>
      </c>
      <c r="DD7" s="104"/>
      <c r="DE7" s="3"/>
      <c r="DF7" s="118" t="s">
        <v>141</v>
      </c>
      <c r="DG7" s="104"/>
      <c r="DH7" s="3"/>
      <c r="DI7" s="118" t="s">
        <v>141</v>
      </c>
      <c r="DJ7" s="104"/>
      <c r="DK7" s="3"/>
      <c r="DL7" s="118" t="s">
        <v>141</v>
      </c>
      <c r="DM7" s="104"/>
      <c r="DN7" s="3"/>
      <c r="DO7" s="118" t="s">
        <v>141</v>
      </c>
      <c r="DP7" s="104"/>
      <c r="DQ7" s="3"/>
      <c r="DR7" s="118" t="s">
        <v>141</v>
      </c>
      <c r="DS7" s="104"/>
      <c r="DT7" s="3"/>
      <c r="DU7" s="118" t="s">
        <v>141</v>
      </c>
      <c r="DV7" s="104"/>
      <c r="DW7" s="3"/>
      <c r="DX7" s="118" t="s">
        <v>141</v>
      </c>
      <c r="DY7" s="104"/>
      <c r="DZ7" s="3"/>
      <c r="EA7" s="118" t="s">
        <v>141</v>
      </c>
      <c r="EB7" s="104"/>
      <c r="EC7" s="3"/>
      <c r="ED7" s="118" t="s">
        <v>141</v>
      </c>
      <c r="EE7" s="104"/>
      <c r="EF7" s="3"/>
      <c r="EG7" s="118" t="s">
        <v>141</v>
      </c>
      <c r="EH7" s="104"/>
      <c r="EI7" s="3"/>
      <c r="EJ7" s="118" t="s">
        <v>141</v>
      </c>
      <c r="EK7" s="104"/>
      <c r="EL7" s="3"/>
      <c r="EM7" s="118" t="s">
        <v>141</v>
      </c>
      <c r="EN7" s="104"/>
      <c r="EO7" s="3"/>
      <c r="EP7" s="118" t="s">
        <v>141</v>
      </c>
      <c r="EQ7" s="104"/>
      <c r="ER7" s="3"/>
      <c r="ES7" s="118" t="s">
        <v>141</v>
      </c>
      <c r="ET7" s="104"/>
      <c r="EU7" s="3"/>
    </row>
    <row r="8" spans="1:151" x14ac:dyDescent="0.2">
      <c r="A8" s="3"/>
      <c r="B8" s="172" t="s">
        <v>151</v>
      </c>
      <c r="C8" s="116" t="s">
        <v>113</v>
      </c>
      <c r="D8" s="3"/>
      <c r="E8" s="172" t="s">
        <v>151</v>
      </c>
      <c r="F8" s="116" t="s">
        <v>113</v>
      </c>
      <c r="G8" s="3"/>
      <c r="H8" s="172" t="s">
        <v>151</v>
      </c>
      <c r="I8" s="116" t="s">
        <v>113</v>
      </c>
      <c r="J8" s="3"/>
      <c r="K8" s="172" t="s">
        <v>151</v>
      </c>
      <c r="L8" s="116"/>
      <c r="M8" s="3"/>
      <c r="N8" s="172" t="s">
        <v>151</v>
      </c>
      <c r="O8" s="116"/>
      <c r="P8" s="3"/>
      <c r="Q8" s="172" t="s">
        <v>151</v>
      </c>
      <c r="R8" s="116"/>
      <c r="S8" s="3"/>
      <c r="T8" s="172" t="s">
        <v>151</v>
      </c>
      <c r="U8" s="116"/>
      <c r="V8" s="3"/>
      <c r="W8" s="172" t="s">
        <v>151</v>
      </c>
      <c r="X8" s="116"/>
      <c r="Y8" s="3"/>
      <c r="Z8" s="172" t="s">
        <v>151</v>
      </c>
      <c r="AA8" s="116"/>
      <c r="AB8" s="3"/>
      <c r="AC8" s="172" t="s">
        <v>151</v>
      </c>
      <c r="AD8" s="116"/>
      <c r="AE8" s="3"/>
      <c r="AF8" s="172" t="s">
        <v>151</v>
      </c>
      <c r="AG8" s="116"/>
      <c r="AH8" s="3"/>
      <c r="AI8" s="172" t="s">
        <v>151</v>
      </c>
      <c r="AJ8" s="116"/>
      <c r="AK8" s="3"/>
      <c r="AL8" s="172" t="s">
        <v>151</v>
      </c>
      <c r="AM8" s="116"/>
      <c r="AN8" s="3"/>
      <c r="AO8" s="172" t="s">
        <v>151</v>
      </c>
      <c r="AP8" s="116"/>
      <c r="AQ8" s="3"/>
      <c r="AR8" s="172" t="s">
        <v>151</v>
      </c>
      <c r="AS8" s="116"/>
      <c r="AT8" s="3"/>
      <c r="AU8" s="172" t="s">
        <v>151</v>
      </c>
      <c r="AV8" s="116"/>
      <c r="AW8" s="3"/>
      <c r="AX8" s="172" t="s">
        <v>151</v>
      </c>
      <c r="AY8" s="116"/>
      <c r="AZ8" s="3"/>
      <c r="BA8" s="172" t="s">
        <v>151</v>
      </c>
      <c r="BB8" s="116"/>
      <c r="BC8" s="3"/>
      <c r="BD8" s="172" t="s">
        <v>151</v>
      </c>
      <c r="BE8" s="116"/>
      <c r="BF8" s="3"/>
      <c r="BG8" s="172" t="s">
        <v>151</v>
      </c>
      <c r="BH8" s="116"/>
      <c r="BI8" s="3"/>
      <c r="BJ8" s="172" t="s">
        <v>151</v>
      </c>
      <c r="BK8" s="116"/>
      <c r="BL8" s="3"/>
      <c r="BM8" s="172" t="s">
        <v>151</v>
      </c>
      <c r="BN8" s="116"/>
      <c r="BO8" s="3"/>
      <c r="BP8" s="172" t="s">
        <v>151</v>
      </c>
      <c r="BQ8" s="116"/>
      <c r="BR8" s="3"/>
      <c r="BS8" s="172" t="s">
        <v>151</v>
      </c>
      <c r="BT8" s="116"/>
      <c r="BU8" s="3"/>
      <c r="BV8" s="172" t="s">
        <v>151</v>
      </c>
      <c r="BW8" s="116"/>
      <c r="BX8" s="3"/>
      <c r="BY8" s="172" t="s">
        <v>151</v>
      </c>
      <c r="BZ8" s="116"/>
      <c r="CA8" s="3"/>
      <c r="CB8" s="172" t="s">
        <v>151</v>
      </c>
      <c r="CC8" s="116"/>
      <c r="CD8" s="3"/>
      <c r="CE8" s="172" t="s">
        <v>151</v>
      </c>
      <c r="CF8" s="116"/>
      <c r="CG8" s="3"/>
      <c r="CH8" s="172" t="s">
        <v>151</v>
      </c>
      <c r="CI8" s="116"/>
      <c r="CJ8" s="3"/>
      <c r="CK8" s="172" t="s">
        <v>151</v>
      </c>
      <c r="CL8" s="116"/>
      <c r="CM8" s="3"/>
      <c r="CN8" s="172" t="s">
        <v>151</v>
      </c>
      <c r="CO8" s="116"/>
      <c r="CP8" s="3"/>
      <c r="CQ8" s="172" t="s">
        <v>151</v>
      </c>
      <c r="CR8" s="116"/>
      <c r="CS8" s="3"/>
      <c r="CT8" s="172" t="s">
        <v>151</v>
      </c>
      <c r="CU8" s="116"/>
      <c r="CV8" s="3"/>
      <c r="CW8" s="172" t="s">
        <v>151</v>
      </c>
      <c r="CX8" s="116"/>
      <c r="CY8" s="3"/>
      <c r="CZ8" s="172" t="s">
        <v>151</v>
      </c>
      <c r="DA8" s="116"/>
      <c r="DB8" s="3"/>
      <c r="DC8" s="172" t="s">
        <v>151</v>
      </c>
      <c r="DD8" s="116"/>
      <c r="DE8" s="3"/>
      <c r="DF8" s="172" t="s">
        <v>151</v>
      </c>
      <c r="DG8" s="116"/>
      <c r="DH8" s="3"/>
      <c r="DI8" s="172" t="s">
        <v>151</v>
      </c>
      <c r="DJ8" s="116"/>
      <c r="DK8" s="3"/>
      <c r="DL8" s="172" t="s">
        <v>151</v>
      </c>
      <c r="DM8" s="116"/>
      <c r="DN8" s="3"/>
      <c r="DO8" s="172" t="s">
        <v>151</v>
      </c>
      <c r="DP8" s="116"/>
      <c r="DQ8" s="3"/>
      <c r="DR8" s="172" t="s">
        <v>151</v>
      </c>
      <c r="DS8" s="116"/>
      <c r="DT8" s="3"/>
      <c r="DU8" s="172" t="s">
        <v>151</v>
      </c>
      <c r="DV8" s="116"/>
      <c r="DW8" s="3"/>
      <c r="DX8" s="172" t="s">
        <v>151</v>
      </c>
      <c r="DY8" s="116"/>
      <c r="DZ8" s="3"/>
      <c r="EA8" s="172" t="s">
        <v>151</v>
      </c>
      <c r="EB8" s="116"/>
      <c r="EC8" s="3"/>
      <c r="ED8" s="172" t="s">
        <v>151</v>
      </c>
      <c r="EE8" s="116"/>
      <c r="EF8" s="3"/>
      <c r="EG8" s="172" t="s">
        <v>151</v>
      </c>
      <c r="EH8" s="116"/>
      <c r="EI8" s="3"/>
      <c r="EJ8" s="172" t="s">
        <v>151</v>
      </c>
      <c r="EK8" s="116"/>
      <c r="EL8" s="3"/>
      <c r="EM8" s="172" t="s">
        <v>151</v>
      </c>
      <c r="EN8" s="116"/>
      <c r="EO8" s="3"/>
      <c r="EP8" s="172" t="s">
        <v>151</v>
      </c>
      <c r="EQ8" s="116"/>
      <c r="ER8" s="3"/>
      <c r="ES8" s="172" t="s">
        <v>151</v>
      </c>
      <c r="ET8" s="116"/>
      <c r="EU8" s="3"/>
    </row>
    <row r="9" spans="1:151" ht="13.5" thickBot="1" x14ac:dyDescent="0.25">
      <c r="A9" s="3"/>
      <c r="B9" s="146" t="s">
        <v>152</v>
      </c>
      <c r="C9" s="60">
        <v>0</v>
      </c>
      <c r="D9" s="3"/>
      <c r="E9" s="146" t="s">
        <v>152</v>
      </c>
      <c r="F9" s="60">
        <v>0</v>
      </c>
      <c r="G9" s="3"/>
      <c r="H9" s="146" t="s">
        <v>152</v>
      </c>
      <c r="I9" s="60">
        <v>0</v>
      </c>
      <c r="J9" s="3"/>
      <c r="K9" s="146" t="s">
        <v>152</v>
      </c>
      <c r="L9" s="60"/>
      <c r="M9" s="3"/>
      <c r="N9" s="146" t="s">
        <v>152</v>
      </c>
      <c r="O9" s="60"/>
      <c r="P9" s="3"/>
      <c r="Q9" s="146" t="s">
        <v>152</v>
      </c>
      <c r="R9" s="60"/>
      <c r="S9" s="3"/>
      <c r="T9" s="146" t="s">
        <v>152</v>
      </c>
      <c r="U9" s="60"/>
      <c r="V9" s="3"/>
      <c r="W9" s="146" t="s">
        <v>152</v>
      </c>
      <c r="X9" s="60"/>
      <c r="Y9" s="3"/>
      <c r="Z9" s="146" t="s">
        <v>152</v>
      </c>
      <c r="AA9" s="60"/>
      <c r="AB9" s="3"/>
      <c r="AC9" s="146" t="s">
        <v>152</v>
      </c>
      <c r="AD9" s="60"/>
      <c r="AE9" s="3"/>
      <c r="AF9" s="146" t="s">
        <v>152</v>
      </c>
      <c r="AG9" s="60"/>
      <c r="AH9" s="3"/>
      <c r="AI9" s="146" t="s">
        <v>152</v>
      </c>
      <c r="AJ9" s="60"/>
      <c r="AK9" s="3"/>
      <c r="AL9" s="146" t="s">
        <v>152</v>
      </c>
      <c r="AM9" s="60"/>
      <c r="AN9" s="3"/>
      <c r="AO9" s="146" t="s">
        <v>152</v>
      </c>
      <c r="AP9" s="60"/>
      <c r="AQ9" s="3"/>
      <c r="AR9" s="146" t="s">
        <v>152</v>
      </c>
      <c r="AS9" s="60"/>
      <c r="AT9" s="3"/>
      <c r="AU9" s="146" t="s">
        <v>152</v>
      </c>
      <c r="AV9" s="60"/>
      <c r="AW9" s="3"/>
      <c r="AX9" s="146" t="s">
        <v>152</v>
      </c>
      <c r="AY9" s="60"/>
      <c r="AZ9" s="3"/>
      <c r="BA9" s="146" t="s">
        <v>152</v>
      </c>
      <c r="BB9" s="60"/>
      <c r="BC9" s="3"/>
      <c r="BD9" s="146" t="s">
        <v>152</v>
      </c>
      <c r="BE9" s="60"/>
      <c r="BF9" s="3"/>
      <c r="BG9" s="146" t="s">
        <v>152</v>
      </c>
      <c r="BH9" s="60"/>
      <c r="BI9" s="3"/>
      <c r="BJ9" s="146" t="s">
        <v>152</v>
      </c>
      <c r="BK9" s="60"/>
      <c r="BL9" s="3"/>
      <c r="BM9" s="146" t="s">
        <v>152</v>
      </c>
      <c r="BN9" s="60"/>
      <c r="BO9" s="3"/>
      <c r="BP9" s="146" t="s">
        <v>152</v>
      </c>
      <c r="BQ9" s="60"/>
      <c r="BR9" s="3"/>
      <c r="BS9" s="146" t="s">
        <v>152</v>
      </c>
      <c r="BT9" s="60"/>
      <c r="BU9" s="3"/>
      <c r="BV9" s="146" t="s">
        <v>152</v>
      </c>
      <c r="BW9" s="60"/>
      <c r="BX9" s="3"/>
      <c r="BY9" s="146" t="s">
        <v>152</v>
      </c>
      <c r="BZ9" s="60"/>
      <c r="CA9" s="3"/>
      <c r="CB9" s="146" t="s">
        <v>152</v>
      </c>
      <c r="CC9" s="60"/>
      <c r="CD9" s="3"/>
      <c r="CE9" s="146" t="s">
        <v>152</v>
      </c>
      <c r="CF9" s="60"/>
      <c r="CG9" s="3"/>
      <c r="CH9" s="146" t="s">
        <v>152</v>
      </c>
      <c r="CI9" s="60"/>
      <c r="CJ9" s="3"/>
      <c r="CK9" s="146" t="s">
        <v>152</v>
      </c>
      <c r="CL9" s="60"/>
      <c r="CM9" s="3"/>
      <c r="CN9" s="146" t="s">
        <v>152</v>
      </c>
      <c r="CO9" s="60"/>
      <c r="CP9" s="3"/>
      <c r="CQ9" s="146" t="s">
        <v>152</v>
      </c>
      <c r="CR9" s="60"/>
      <c r="CS9" s="3"/>
      <c r="CT9" s="146" t="s">
        <v>152</v>
      </c>
      <c r="CU9" s="60"/>
      <c r="CV9" s="3"/>
      <c r="CW9" s="146" t="s">
        <v>152</v>
      </c>
      <c r="CX9" s="60"/>
      <c r="CY9" s="3"/>
      <c r="CZ9" s="146" t="s">
        <v>152</v>
      </c>
      <c r="DA9" s="60"/>
      <c r="DB9" s="3"/>
      <c r="DC9" s="146" t="s">
        <v>152</v>
      </c>
      <c r="DD9" s="60"/>
      <c r="DE9" s="3"/>
      <c r="DF9" s="146" t="s">
        <v>152</v>
      </c>
      <c r="DG9" s="60"/>
      <c r="DH9" s="3"/>
      <c r="DI9" s="146" t="s">
        <v>152</v>
      </c>
      <c r="DJ9" s="60"/>
      <c r="DK9" s="3"/>
      <c r="DL9" s="146" t="s">
        <v>152</v>
      </c>
      <c r="DM9" s="60"/>
      <c r="DN9" s="3"/>
      <c r="DO9" s="146" t="s">
        <v>152</v>
      </c>
      <c r="DP9" s="60"/>
      <c r="DQ9" s="3"/>
      <c r="DR9" s="146" t="s">
        <v>152</v>
      </c>
      <c r="DS9" s="60"/>
      <c r="DT9" s="3"/>
      <c r="DU9" s="146" t="s">
        <v>152</v>
      </c>
      <c r="DV9" s="60"/>
      <c r="DW9" s="3"/>
      <c r="DX9" s="146" t="s">
        <v>152</v>
      </c>
      <c r="DY9" s="60"/>
      <c r="DZ9" s="3"/>
      <c r="EA9" s="146" t="s">
        <v>152</v>
      </c>
      <c r="EB9" s="60"/>
      <c r="EC9" s="3"/>
      <c r="ED9" s="146" t="s">
        <v>152</v>
      </c>
      <c r="EE9" s="60"/>
      <c r="EF9" s="3"/>
      <c r="EG9" s="146" t="s">
        <v>152</v>
      </c>
      <c r="EH9" s="60"/>
      <c r="EI9" s="3"/>
      <c r="EJ9" s="146" t="s">
        <v>152</v>
      </c>
      <c r="EK9" s="60"/>
      <c r="EL9" s="3"/>
      <c r="EM9" s="146" t="s">
        <v>152</v>
      </c>
      <c r="EN9" s="60"/>
      <c r="EO9" s="3"/>
      <c r="EP9" s="146" t="s">
        <v>152</v>
      </c>
      <c r="EQ9" s="60"/>
      <c r="ER9" s="3"/>
      <c r="ES9" s="146" t="s">
        <v>152</v>
      </c>
      <c r="ET9" s="60"/>
      <c r="EU9" s="3"/>
    </row>
    <row r="10" spans="1:151" x14ac:dyDescent="0.2">
      <c r="A10" s="3"/>
      <c r="B10" s="165" t="s">
        <v>10</v>
      </c>
      <c r="C10" s="175" t="s">
        <v>10</v>
      </c>
      <c r="D10" s="3"/>
      <c r="E10" s="165" t="s">
        <v>10</v>
      </c>
      <c r="F10" s="175"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144</v>
      </c>
      <c r="C11" s="146" t="s">
        <v>153</v>
      </c>
      <c r="D11" s="3"/>
      <c r="E11" s="174" t="s">
        <v>144</v>
      </c>
      <c r="F11" s="146" t="s">
        <v>153</v>
      </c>
      <c r="G11" s="3"/>
      <c r="H11" s="174" t="s">
        <v>144</v>
      </c>
      <c r="I11" s="146" t="s">
        <v>153</v>
      </c>
      <c r="J11" s="3"/>
      <c r="K11" s="174" t="s">
        <v>144</v>
      </c>
      <c r="L11" s="146" t="s">
        <v>153</v>
      </c>
      <c r="M11" s="3"/>
      <c r="N11" s="174" t="s">
        <v>144</v>
      </c>
      <c r="O11" s="146" t="s">
        <v>153</v>
      </c>
      <c r="P11" s="3"/>
      <c r="Q11" s="174" t="s">
        <v>144</v>
      </c>
      <c r="R11" s="146" t="s">
        <v>153</v>
      </c>
      <c r="S11" s="3"/>
      <c r="T11" s="174" t="s">
        <v>144</v>
      </c>
      <c r="U11" s="146" t="s">
        <v>153</v>
      </c>
      <c r="V11" s="3"/>
      <c r="W11" s="174" t="s">
        <v>144</v>
      </c>
      <c r="X11" s="146" t="s">
        <v>153</v>
      </c>
      <c r="Y11" s="3"/>
      <c r="Z11" s="174" t="s">
        <v>144</v>
      </c>
      <c r="AA11" s="146" t="s">
        <v>153</v>
      </c>
      <c r="AB11" s="3"/>
      <c r="AC11" s="174" t="s">
        <v>144</v>
      </c>
      <c r="AD11" s="146" t="s">
        <v>153</v>
      </c>
      <c r="AE11" s="3"/>
      <c r="AF11" s="174" t="s">
        <v>144</v>
      </c>
      <c r="AG11" s="146" t="s">
        <v>153</v>
      </c>
      <c r="AH11" s="3"/>
      <c r="AI11" s="174" t="s">
        <v>144</v>
      </c>
      <c r="AJ11" s="146" t="s">
        <v>153</v>
      </c>
      <c r="AK11" s="3"/>
      <c r="AL11" s="174" t="s">
        <v>144</v>
      </c>
      <c r="AM11" s="146" t="s">
        <v>153</v>
      </c>
      <c r="AN11" s="3"/>
      <c r="AO11" s="174" t="s">
        <v>144</v>
      </c>
      <c r="AP11" s="146" t="s">
        <v>153</v>
      </c>
      <c r="AQ11" s="3"/>
      <c r="AR11" s="174" t="s">
        <v>144</v>
      </c>
      <c r="AS11" s="146" t="s">
        <v>153</v>
      </c>
      <c r="AT11" s="3"/>
      <c r="AU11" s="174" t="s">
        <v>144</v>
      </c>
      <c r="AV11" s="146" t="s">
        <v>153</v>
      </c>
      <c r="AW11" s="3"/>
      <c r="AX11" s="174" t="s">
        <v>144</v>
      </c>
      <c r="AY11" s="146" t="s">
        <v>153</v>
      </c>
      <c r="AZ11" s="3"/>
      <c r="BA11" s="174" t="s">
        <v>144</v>
      </c>
      <c r="BB11" s="146" t="s">
        <v>153</v>
      </c>
      <c r="BC11" s="3"/>
      <c r="BD11" s="174" t="s">
        <v>144</v>
      </c>
      <c r="BE11" s="146" t="s">
        <v>153</v>
      </c>
      <c r="BF11" s="3"/>
      <c r="BG11" s="174" t="s">
        <v>144</v>
      </c>
      <c r="BH11" s="146" t="s">
        <v>153</v>
      </c>
      <c r="BI11" s="3"/>
      <c r="BJ11" s="174" t="s">
        <v>144</v>
      </c>
      <c r="BK11" s="146" t="s">
        <v>153</v>
      </c>
      <c r="BL11" s="3"/>
      <c r="BM11" s="174" t="s">
        <v>144</v>
      </c>
      <c r="BN11" s="146" t="s">
        <v>153</v>
      </c>
      <c r="BO11" s="3"/>
      <c r="BP11" s="174" t="s">
        <v>144</v>
      </c>
      <c r="BQ11" s="146" t="s">
        <v>153</v>
      </c>
      <c r="BR11" s="3"/>
      <c r="BS11" s="174" t="s">
        <v>144</v>
      </c>
      <c r="BT11" s="146" t="s">
        <v>153</v>
      </c>
      <c r="BU11" s="3"/>
      <c r="BV11" s="174" t="s">
        <v>144</v>
      </c>
      <c r="BW11" s="146" t="s">
        <v>153</v>
      </c>
      <c r="BX11" s="3"/>
      <c r="BY11" s="174" t="s">
        <v>144</v>
      </c>
      <c r="BZ11" s="146" t="s">
        <v>153</v>
      </c>
      <c r="CA11" s="3"/>
      <c r="CB11" s="174" t="s">
        <v>144</v>
      </c>
      <c r="CC11" s="146" t="s">
        <v>153</v>
      </c>
      <c r="CD11" s="3"/>
      <c r="CE11" s="174" t="s">
        <v>144</v>
      </c>
      <c r="CF11" s="146" t="s">
        <v>153</v>
      </c>
      <c r="CG11" s="3"/>
      <c r="CH11" s="174" t="s">
        <v>144</v>
      </c>
      <c r="CI11" s="146" t="s">
        <v>153</v>
      </c>
      <c r="CJ11" s="3"/>
      <c r="CK11" s="174" t="s">
        <v>144</v>
      </c>
      <c r="CL11" s="146" t="s">
        <v>153</v>
      </c>
      <c r="CM11" s="3"/>
      <c r="CN11" s="174" t="s">
        <v>144</v>
      </c>
      <c r="CO11" s="146" t="s">
        <v>153</v>
      </c>
      <c r="CP11" s="3"/>
      <c r="CQ11" s="174" t="s">
        <v>144</v>
      </c>
      <c r="CR11" s="146" t="s">
        <v>153</v>
      </c>
      <c r="CS11" s="3"/>
      <c r="CT11" s="174" t="s">
        <v>144</v>
      </c>
      <c r="CU11" s="146" t="s">
        <v>153</v>
      </c>
      <c r="CV11" s="3"/>
      <c r="CW11" s="174" t="s">
        <v>144</v>
      </c>
      <c r="CX11" s="146" t="s">
        <v>153</v>
      </c>
      <c r="CY11" s="3"/>
      <c r="CZ11" s="174" t="s">
        <v>144</v>
      </c>
      <c r="DA11" s="146" t="s">
        <v>153</v>
      </c>
      <c r="DB11" s="3"/>
      <c r="DC11" s="174" t="s">
        <v>144</v>
      </c>
      <c r="DD11" s="146" t="s">
        <v>153</v>
      </c>
      <c r="DE11" s="3"/>
      <c r="DF11" s="174" t="s">
        <v>144</v>
      </c>
      <c r="DG11" s="146" t="s">
        <v>153</v>
      </c>
      <c r="DH11" s="3"/>
      <c r="DI11" s="174" t="s">
        <v>144</v>
      </c>
      <c r="DJ11" s="146" t="s">
        <v>153</v>
      </c>
      <c r="DK11" s="3"/>
      <c r="DL11" s="174" t="s">
        <v>144</v>
      </c>
      <c r="DM11" s="146" t="s">
        <v>153</v>
      </c>
      <c r="DN11" s="3"/>
      <c r="DO11" s="174" t="s">
        <v>144</v>
      </c>
      <c r="DP11" s="146" t="s">
        <v>153</v>
      </c>
      <c r="DQ11" s="3"/>
      <c r="DR11" s="174" t="s">
        <v>144</v>
      </c>
      <c r="DS11" s="146" t="s">
        <v>153</v>
      </c>
      <c r="DT11" s="3"/>
      <c r="DU11" s="174" t="s">
        <v>144</v>
      </c>
      <c r="DV11" s="146" t="s">
        <v>153</v>
      </c>
      <c r="DW11" s="3"/>
      <c r="DX11" s="174" t="s">
        <v>144</v>
      </c>
      <c r="DY11" s="146" t="s">
        <v>153</v>
      </c>
      <c r="DZ11" s="3"/>
      <c r="EA11" s="174" t="s">
        <v>144</v>
      </c>
      <c r="EB11" s="146" t="s">
        <v>153</v>
      </c>
      <c r="EC11" s="3"/>
      <c r="ED11" s="174" t="s">
        <v>144</v>
      </c>
      <c r="EE11" s="146" t="s">
        <v>153</v>
      </c>
      <c r="EF11" s="3"/>
      <c r="EG11" s="174" t="s">
        <v>144</v>
      </c>
      <c r="EH11" s="146" t="s">
        <v>153</v>
      </c>
      <c r="EI11" s="3"/>
      <c r="EJ11" s="174" t="s">
        <v>144</v>
      </c>
      <c r="EK11" s="146" t="s">
        <v>153</v>
      </c>
      <c r="EL11" s="3"/>
      <c r="EM11" s="174" t="s">
        <v>144</v>
      </c>
      <c r="EN11" s="146" t="s">
        <v>153</v>
      </c>
      <c r="EO11" s="3"/>
      <c r="EP11" s="174" t="s">
        <v>144</v>
      </c>
      <c r="EQ11" s="146" t="s">
        <v>153</v>
      </c>
      <c r="ER11" s="3"/>
      <c r="ES11" s="174" t="s">
        <v>144</v>
      </c>
      <c r="ET11" s="146" t="s">
        <v>153</v>
      </c>
      <c r="EU11" s="3"/>
    </row>
    <row r="12" spans="1:151" x14ac:dyDescent="0.2">
      <c r="A12" s="3"/>
      <c r="B12" s="107" t="s">
        <v>164</v>
      </c>
      <c r="C12" s="104">
        <v>1</v>
      </c>
      <c r="D12" s="32"/>
      <c r="E12" s="107" t="s">
        <v>167</v>
      </c>
      <c r="F12" s="104">
        <v>1</v>
      </c>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t="s">
        <v>165</v>
      </c>
      <c r="C13" s="55">
        <v>1</v>
      </c>
      <c r="D13" s="32"/>
      <c r="E13" s="108" t="s">
        <v>168</v>
      </c>
      <c r="F13" s="55">
        <v>1</v>
      </c>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154</v>
      </c>
      <c r="C22" s="121" t="s">
        <v>123</v>
      </c>
      <c r="D22" s="3"/>
      <c r="E22" s="88" t="s">
        <v>154</v>
      </c>
      <c r="F22" s="121" t="s">
        <v>123</v>
      </c>
      <c r="G22" s="3"/>
      <c r="H22" s="88" t="s">
        <v>154</v>
      </c>
      <c r="I22" s="121" t="s">
        <v>123</v>
      </c>
      <c r="J22" s="3"/>
      <c r="K22" s="88" t="s">
        <v>154</v>
      </c>
      <c r="L22" s="121" t="s">
        <v>123</v>
      </c>
      <c r="M22" s="3"/>
      <c r="N22" s="88" t="s">
        <v>154</v>
      </c>
      <c r="O22" s="121" t="s">
        <v>123</v>
      </c>
      <c r="P22" s="3"/>
      <c r="Q22" s="88" t="s">
        <v>154</v>
      </c>
      <c r="R22" s="121" t="s">
        <v>123</v>
      </c>
      <c r="S22" s="3"/>
      <c r="T22" s="88" t="s">
        <v>154</v>
      </c>
      <c r="U22" s="121" t="s">
        <v>123</v>
      </c>
      <c r="V22" s="3"/>
      <c r="W22" s="88" t="s">
        <v>154</v>
      </c>
      <c r="X22" s="121" t="s">
        <v>123</v>
      </c>
      <c r="Y22" s="3"/>
      <c r="Z22" s="88" t="s">
        <v>154</v>
      </c>
      <c r="AA22" s="121" t="s">
        <v>123</v>
      </c>
      <c r="AB22" s="3"/>
      <c r="AC22" s="88" t="s">
        <v>154</v>
      </c>
      <c r="AD22" s="121" t="s">
        <v>123</v>
      </c>
      <c r="AE22" s="3"/>
      <c r="AF22" s="88" t="s">
        <v>154</v>
      </c>
      <c r="AG22" s="121" t="s">
        <v>123</v>
      </c>
      <c r="AH22" s="3"/>
      <c r="AI22" s="88" t="s">
        <v>154</v>
      </c>
      <c r="AJ22" s="121" t="s">
        <v>123</v>
      </c>
      <c r="AK22" s="3"/>
      <c r="AL22" s="88" t="s">
        <v>154</v>
      </c>
      <c r="AM22" s="121" t="s">
        <v>123</v>
      </c>
      <c r="AN22" s="3"/>
      <c r="AO22" s="88" t="s">
        <v>154</v>
      </c>
      <c r="AP22" s="121" t="s">
        <v>123</v>
      </c>
      <c r="AQ22" s="3"/>
      <c r="AR22" s="88" t="s">
        <v>154</v>
      </c>
      <c r="AS22" s="121" t="s">
        <v>123</v>
      </c>
      <c r="AT22" s="3"/>
      <c r="AU22" s="88" t="s">
        <v>154</v>
      </c>
      <c r="AV22" s="121" t="s">
        <v>123</v>
      </c>
      <c r="AW22" s="3"/>
      <c r="AX22" s="88" t="s">
        <v>154</v>
      </c>
      <c r="AY22" s="121" t="s">
        <v>123</v>
      </c>
      <c r="AZ22" s="3"/>
      <c r="BA22" s="88" t="s">
        <v>154</v>
      </c>
      <c r="BB22" s="121" t="s">
        <v>123</v>
      </c>
      <c r="BC22" s="3"/>
      <c r="BD22" s="88" t="s">
        <v>154</v>
      </c>
      <c r="BE22" s="121" t="s">
        <v>123</v>
      </c>
      <c r="BF22" s="3"/>
      <c r="BG22" s="88" t="s">
        <v>154</v>
      </c>
      <c r="BH22" s="121" t="s">
        <v>123</v>
      </c>
      <c r="BI22" s="3"/>
      <c r="BJ22" s="88" t="s">
        <v>154</v>
      </c>
      <c r="BK22" s="121" t="s">
        <v>123</v>
      </c>
      <c r="BL22" s="3"/>
      <c r="BM22" s="88" t="s">
        <v>154</v>
      </c>
      <c r="BN22" s="121" t="s">
        <v>123</v>
      </c>
      <c r="BO22" s="3"/>
      <c r="BP22" s="88" t="s">
        <v>154</v>
      </c>
      <c r="BQ22" s="121" t="s">
        <v>123</v>
      </c>
      <c r="BR22" s="3"/>
      <c r="BS22" s="88" t="s">
        <v>154</v>
      </c>
      <c r="BT22" s="121" t="s">
        <v>123</v>
      </c>
      <c r="BU22" s="3"/>
      <c r="BV22" s="88" t="s">
        <v>154</v>
      </c>
      <c r="BW22" s="121" t="s">
        <v>123</v>
      </c>
      <c r="BX22" s="3"/>
      <c r="BY22" s="88" t="s">
        <v>154</v>
      </c>
      <c r="BZ22" s="121" t="s">
        <v>123</v>
      </c>
      <c r="CA22" s="3"/>
      <c r="CB22" s="88" t="s">
        <v>154</v>
      </c>
      <c r="CC22" s="121" t="s">
        <v>123</v>
      </c>
      <c r="CD22" s="3"/>
      <c r="CE22" s="88" t="s">
        <v>154</v>
      </c>
      <c r="CF22" s="121" t="s">
        <v>123</v>
      </c>
      <c r="CG22" s="3"/>
      <c r="CH22" s="88" t="s">
        <v>154</v>
      </c>
      <c r="CI22" s="121" t="s">
        <v>123</v>
      </c>
      <c r="CJ22" s="3"/>
      <c r="CK22" s="88" t="s">
        <v>154</v>
      </c>
      <c r="CL22" s="121" t="s">
        <v>123</v>
      </c>
      <c r="CM22" s="3"/>
      <c r="CN22" s="88" t="s">
        <v>154</v>
      </c>
      <c r="CO22" s="121" t="s">
        <v>123</v>
      </c>
      <c r="CP22" s="3"/>
      <c r="CQ22" s="88" t="s">
        <v>154</v>
      </c>
      <c r="CR22" s="121" t="s">
        <v>123</v>
      </c>
      <c r="CS22" s="3"/>
      <c r="CT22" s="88" t="s">
        <v>154</v>
      </c>
      <c r="CU22" s="121" t="s">
        <v>123</v>
      </c>
      <c r="CV22" s="3"/>
      <c r="CW22" s="88" t="s">
        <v>154</v>
      </c>
      <c r="CX22" s="121" t="s">
        <v>123</v>
      </c>
      <c r="CY22" s="3"/>
      <c r="CZ22" s="88" t="s">
        <v>154</v>
      </c>
      <c r="DA22" s="121" t="s">
        <v>123</v>
      </c>
      <c r="DB22" s="3"/>
      <c r="DC22" s="88" t="s">
        <v>154</v>
      </c>
      <c r="DD22" s="121" t="s">
        <v>123</v>
      </c>
      <c r="DE22" s="3"/>
      <c r="DF22" s="88" t="s">
        <v>154</v>
      </c>
      <c r="DG22" s="121" t="s">
        <v>123</v>
      </c>
      <c r="DH22" s="3"/>
      <c r="DI22" s="88" t="s">
        <v>154</v>
      </c>
      <c r="DJ22" s="121" t="s">
        <v>123</v>
      </c>
      <c r="DK22" s="3"/>
      <c r="DL22" s="88" t="s">
        <v>154</v>
      </c>
      <c r="DM22" s="121" t="s">
        <v>123</v>
      </c>
      <c r="DN22" s="3"/>
      <c r="DO22" s="88" t="s">
        <v>154</v>
      </c>
      <c r="DP22" s="121" t="s">
        <v>123</v>
      </c>
      <c r="DQ22" s="3"/>
      <c r="DR22" s="88" t="s">
        <v>154</v>
      </c>
      <c r="DS22" s="121" t="s">
        <v>123</v>
      </c>
      <c r="DT22" s="3"/>
      <c r="DU22" s="88" t="s">
        <v>154</v>
      </c>
      <c r="DV22" s="121" t="s">
        <v>123</v>
      </c>
      <c r="DW22" s="3"/>
      <c r="DX22" s="88" t="s">
        <v>154</v>
      </c>
      <c r="DY22" s="121" t="s">
        <v>123</v>
      </c>
      <c r="DZ22" s="3"/>
      <c r="EA22" s="88" t="s">
        <v>154</v>
      </c>
      <c r="EB22" s="121" t="s">
        <v>123</v>
      </c>
      <c r="EC22" s="3"/>
      <c r="ED22" s="88" t="s">
        <v>154</v>
      </c>
      <c r="EE22" s="121" t="s">
        <v>123</v>
      </c>
      <c r="EF22" s="3"/>
      <c r="EG22" s="88" t="s">
        <v>154</v>
      </c>
      <c r="EH22" s="121" t="s">
        <v>123</v>
      </c>
      <c r="EI22" s="3"/>
      <c r="EJ22" s="88" t="s">
        <v>154</v>
      </c>
      <c r="EK22" s="121" t="s">
        <v>123</v>
      </c>
      <c r="EL22" s="3"/>
      <c r="EM22" s="88" t="s">
        <v>154</v>
      </c>
      <c r="EN22" s="121" t="s">
        <v>123</v>
      </c>
      <c r="EO22" s="3"/>
      <c r="EP22" s="88" t="s">
        <v>154</v>
      </c>
      <c r="EQ22" s="121" t="s">
        <v>123</v>
      </c>
      <c r="ER22" s="3"/>
      <c r="ES22" s="88" t="s">
        <v>154</v>
      </c>
      <c r="ET22" s="121" t="s">
        <v>123</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22">
      <formula1>BufferDetailsYesNo</formula1>
    </dataValidation>
    <dataValidation type="list" allowBlank="1" sqref="F22">
      <formula1>BufferDetailsYesNo</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B13">
      <formula1>NameLabelRange</formula1>
    </dataValidation>
    <dataValidation type="list" allowBlank="1" sqref="C12">
      <formula1>WSNumOutputObjects</formula1>
    </dataValidation>
    <dataValidation type="list" allowBlank="1" sqref="C13">
      <formula1>WSNumOutputObjects</formula1>
    </dataValidation>
    <dataValidation type="list" allowBlank="1" sqref="F8">
      <formula1>DistributionsBufferCap</formula1>
    </dataValidation>
    <dataValidation type="list" allowBlank="1" sqref="F9">
      <formula1>DistributionsBuffersInitialObjects</formula1>
    </dataValidation>
    <dataValidation type="list" allowBlank="1" sqref="F12">
      <formula1>WSNumOutputObjects</formula1>
    </dataValidation>
    <dataValidation type="list" allowBlank="1" sqref="F13">
      <formula1>WSNumOutputObjects</formula1>
    </dataValidation>
    <dataValidation type="list" allowBlank="1" sqref="F7">
      <formula1>NameLabelRange</formula1>
    </dataValidation>
    <dataValidation type="list" allowBlank="1" sqref="E12">
      <formula1>NameLabelRange</formula1>
    </dataValidation>
    <dataValidation type="list" allowBlank="1" sqref="E13">
      <formula1>NameLabelRange</formula1>
    </dataValidation>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C12" sqref="C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141</v>
      </c>
      <c r="C7" s="104" t="s">
        <v>171</v>
      </c>
      <c r="D7" s="3"/>
      <c r="E7" s="118" t="s">
        <v>141</v>
      </c>
      <c r="F7" s="104"/>
      <c r="G7" s="3"/>
      <c r="H7" s="118" t="s">
        <v>141</v>
      </c>
      <c r="I7" s="104"/>
      <c r="J7" s="3"/>
      <c r="K7" s="118" t="s">
        <v>141</v>
      </c>
      <c r="L7" s="104"/>
      <c r="M7" s="3"/>
      <c r="N7" s="118" t="s">
        <v>141</v>
      </c>
      <c r="O7" s="104"/>
      <c r="P7" s="3"/>
      <c r="Q7" s="118" t="s">
        <v>141</v>
      </c>
      <c r="R7" s="104"/>
      <c r="S7" s="3"/>
      <c r="T7" s="118" t="s">
        <v>141</v>
      </c>
      <c r="U7" s="104"/>
      <c r="V7" s="3"/>
      <c r="W7" s="118" t="s">
        <v>141</v>
      </c>
      <c r="X7" s="104"/>
      <c r="Y7" s="3"/>
      <c r="Z7" s="118" t="s">
        <v>141</v>
      </c>
      <c r="AA7" s="104"/>
      <c r="AB7" s="3"/>
      <c r="AC7" s="118" t="s">
        <v>141</v>
      </c>
      <c r="AD7" s="104"/>
      <c r="AE7" s="3"/>
      <c r="AF7" s="118" t="s">
        <v>141</v>
      </c>
      <c r="AG7" s="104"/>
      <c r="AH7" s="3"/>
      <c r="AI7" s="118" t="s">
        <v>141</v>
      </c>
      <c r="AJ7" s="104"/>
      <c r="AK7" s="3"/>
      <c r="AL7" s="118" t="s">
        <v>141</v>
      </c>
      <c r="AM7" s="104"/>
      <c r="AN7" s="3"/>
      <c r="AO7" s="118" t="s">
        <v>141</v>
      </c>
      <c r="AP7" s="104"/>
      <c r="AQ7" s="3"/>
      <c r="AR7" s="118" t="s">
        <v>141</v>
      </c>
      <c r="AS7" s="104"/>
      <c r="AT7" s="3"/>
      <c r="AU7" s="118" t="s">
        <v>141</v>
      </c>
      <c r="AV7" s="104"/>
      <c r="AW7" s="3"/>
      <c r="AX7" s="118" t="s">
        <v>141</v>
      </c>
      <c r="AY7" s="104"/>
      <c r="AZ7" s="3"/>
      <c r="BA7" s="118" t="s">
        <v>141</v>
      </c>
      <c r="BB7" s="104"/>
      <c r="BC7" s="3"/>
      <c r="BD7" s="118" t="s">
        <v>141</v>
      </c>
      <c r="BE7" s="104"/>
      <c r="BF7" s="3"/>
      <c r="BG7" s="118" t="s">
        <v>141</v>
      </c>
      <c r="BH7" s="104"/>
      <c r="BI7" s="3"/>
      <c r="BJ7" s="118" t="s">
        <v>141</v>
      </c>
      <c r="BK7" s="104"/>
      <c r="BL7" s="3"/>
      <c r="BM7" s="118" t="s">
        <v>141</v>
      </c>
      <c r="BN7" s="104"/>
      <c r="BO7" s="3"/>
      <c r="BP7" s="118" t="s">
        <v>141</v>
      </c>
      <c r="BQ7" s="104"/>
      <c r="BR7" s="3"/>
      <c r="BS7" s="118" t="s">
        <v>141</v>
      </c>
      <c r="BT7" s="104"/>
      <c r="BU7" s="3"/>
      <c r="BV7" s="118" t="s">
        <v>141</v>
      </c>
      <c r="BW7" s="104"/>
      <c r="BX7" s="3"/>
      <c r="BY7" s="118" t="s">
        <v>141</v>
      </c>
      <c r="BZ7" s="104"/>
      <c r="CA7" s="3"/>
      <c r="CB7" s="118" t="s">
        <v>141</v>
      </c>
      <c r="CC7" s="104"/>
      <c r="CD7" s="3"/>
      <c r="CE7" s="118" t="s">
        <v>141</v>
      </c>
      <c r="CF7" s="104"/>
      <c r="CG7" s="3"/>
      <c r="CH7" s="118" t="s">
        <v>141</v>
      </c>
      <c r="CI7" s="104"/>
      <c r="CJ7" s="3"/>
      <c r="CK7" s="118" t="s">
        <v>141</v>
      </c>
      <c r="CL7" s="104"/>
      <c r="CM7" s="3"/>
      <c r="CN7" s="118" t="s">
        <v>141</v>
      </c>
      <c r="CO7" s="104"/>
      <c r="CP7" s="3"/>
      <c r="CQ7" s="118" t="s">
        <v>141</v>
      </c>
      <c r="CR7" s="104"/>
      <c r="CS7" s="3"/>
      <c r="CT7" s="118" t="s">
        <v>141</v>
      </c>
      <c r="CU7" s="104"/>
      <c r="CV7" s="3"/>
      <c r="CW7" s="118" t="s">
        <v>141</v>
      </c>
      <c r="CX7" s="104"/>
      <c r="CY7" s="3"/>
      <c r="CZ7" s="118" t="s">
        <v>141</v>
      </c>
      <c r="DA7" s="104"/>
      <c r="DB7" s="3"/>
      <c r="DC7" s="118" t="s">
        <v>141</v>
      </c>
      <c r="DD7" s="104"/>
      <c r="DE7" s="3"/>
      <c r="DF7" s="118" t="s">
        <v>141</v>
      </c>
      <c r="DG7" s="104"/>
      <c r="DH7" s="3"/>
      <c r="DI7" s="118" t="s">
        <v>141</v>
      </c>
      <c r="DJ7" s="104"/>
      <c r="DK7" s="3"/>
      <c r="DL7" s="118" t="s">
        <v>141</v>
      </c>
      <c r="DM7" s="104"/>
      <c r="DN7" s="3"/>
      <c r="DO7" s="118" t="s">
        <v>141</v>
      </c>
      <c r="DP7" s="104"/>
      <c r="DQ7" s="3"/>
      <c r="DR7" s="118" t="s">
        <v>141</v>
      </c>
      <c r="DS7" s="104"/>
      <c r="DT7" s="3"/>
      <c r="DU7" s="118" t="s">
        <v>141</v>
      </c>
      <c r="DV7" s="104"/>
      <c r="DW7" s="3"/>
      <c r="DX7" s="118" t="s">
        <v>141</v>
      </c>
      <c r="DY7" s="104"/>
      <c r="DZ7" s="3"/>
      <c r="EA7" s="118" t="s">
        <v>141</v>
      </c>
      <c r="EB7" s="104"/>
      <c r="EC7" s="3"/>
      <c r="ED7" s="118" t="s">
        <v>141</v>
      </c>
      <c r="EE7" s="104"/>
      <c r="EF7" s="3"/>
      <c r="EG7" s="118" t="s">
        <v>141</v>
      </c>
      <c r="EH7" s="104"/>
      <c r="EI7" s="3"/>
      <c r="EJ7" s="118" t="s">
        <v>141</v>
      </c>
      <c r="EK7" s="104"/>
      <c r="EL7" s="3"/>
      <c r="EM7" s="118" t="s">
        <v>141</v>
      </c>
      <c r="EN7" s="104"/>
      <c r="EO7" s="3"/>
      <c r="EP7" s="118" t="s">
        <v>141</v>
      </c>
      <c r="EQ7" s="104"/>
      <c r="ER7" s="3"/>
      <c r="ES7" s="118" t="s">
        <v>141</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155</v>
      </c>
      <c r="C9" s="146" t="s">
        <v>156</v>
      </c>
      <c r="D9" s="3"/>
      <c r="E9" s="174" t="s">
        <v>155</v>
      </c>
      <c r="F9" s="146" t="s">
        <v>156</v>
      </c>
      <c r="G9" s="3"/>
      <c r="H9" s="174" t="s">
        <v>155</v>
      </c>
      <c r="I9" s="146" t="s">
        <v>156</v>
      </c>
      <c r="J9" s="3"/>
      <c r="K9" s="174" t="s">
        <v>155</v>
      </c>
      <c r="L9" s="146" t="s">
        <v>156</v>
      </c>
      <c r="M9" s="3"/>
      <c r="N9" s="174" t="s">
        <v>155</v>
      </c>
      <c r="O9" s="146" t="s">
        <v>156</v>
      </c>
      <c r="P9" s="3"/>
      <c r="Q9" s="174" t="s">
        <v>155</v>
      </c>
      <c r="R9" s="146" t="s">
        <v>156</v>
      </c>
      <c r="S9" s="3"/>
      <c r="T9" s="174" t="s">
        <v>155</v>
      </c>
      <c r="U9" s="146" t="s">
        <v>156</v>
      </c>
      <c r="V9" s="3"/>
      <c r="W9" s="174" t="s">
        <v>155</v>
      </c>
      <c r="X9" s="146" t="s">
        <v>156</v>
      </c>
      <c r="Y9" s="3"/>
      <c r="Z9" s="174" t="s">
        <v>155</v>
      </c>
      <c r="AA9" s="146" t="s">
        <v>156</v>
      </c>
      <c r="AB9" s="3"/>
      <c r="AC9" s="174" t="s">
        <v>155</v>
      </c>
      <c r="AD9" s="146" t="s">
        <v>156</v>
      </c>
      <c r="AE9" s="3"/>
      <c r="AF9" s="174" t="s">
        <v>155</v>
      </c>
      <c r="AG9" s="146" t="s">
        <v>156</v>
      </c>
      <c r="AH9" s="3"/>
      <c r="AI9" s="174" t="s">
        <v>155</v>
      </c>
      <c r="AJ9" s="146" t="s">
        <v>156</v>
      </c>
      <c r="AK9" s="3"/>
      <c r="AL9" s="174" t="s">
        <v>155</v>
      </c>
      <c r="AM9" s="146" t="s">
        <v>156</v>
      </c>
      <c r="AN9" s="3"/>
      <c r="AO9" s="174" t="s">
        <v>155</v>
      </c>
      <c r="AP9" s="146" t="s">
        <v>156</v>
      </c>
      <c r="AQ9" s="3"/>
      <c r="AR9" s="174" t="s">
        <v>155</v>
      </c>
      <c r="AS9" s="146" t="s">
        <v>156</v>
      </c>
      <c r="AT9" s="3"/>
      <c r="AU9" s="174" t="s">
        <v>155</v>
      </c>
      <c r="AV9" s="146" t="s">
        <v>156</v>
      </c>
      <c r="AW9" s="3"/>
      <c r="AX9" s="174" t="s">
        <v>155</v>
      </c>
      <c r="AY9" s="146" t="s">
        <v>156</v>
      </c>
      <c r="AZ9" s="3"/>
      <c r="BA9" s="174" t="s">
        <v>155</v>
      </c>
      <c r="BB9" s="146" t="s">
        <v>156</v>
      </c>
      <c r="BC9" s="3"/>
      <c r="BD9" s="174" t="s">
        <v>155</v>
      </c>
      <c r="BE9" s="146" t="s">
        <v>156</v>
      </c>
      <c r="BF9" s="3"/>
      <c r="BG9" s="174" t="s">
        <v>155</v>
      </c>
      <c r="BH9" s="146" t="s">
        <v>156</v>
      </c>
      <c r="BI9" s="3"/>
      <c r="BJ9" s="174" t="s">
        <v>155</v>
      </c>
      <c r="BK9" s="146" t="s">
        <v>156</v>
      </c>
      <c r="BL9" s="3"/>
      <c r="BM9" s="174" t="s">
        <v>155</v>
      </c>
      <c r="BN9" s="146" t="s">
        <v>156</v>
      </c>
      <c r="BO9" s="3"/>
      <c r="BP9" s="174" t="s">
        <v>155</v>
      </c>
      <c r="BQ9" s="146" t="s">
        <v>156</v>
      </c>
      <c r="BR9" s="3"/>
      <c r="BS9" s="174" t="s">
        <v>155</v>
      </c>
      <c r="BT9" s="146" t="s">
        <v>156</v>
      </c>
      <c r="BU9" s="3"/>
      <c r="BV9" s="174" t="s">
        <v>155</v>
      </c>
      <c r="BW9" s="146" t="s">
        <v>156</v>
      </c>
      <c r="BX9" s="3"/>
      <c r="BY9" s="174" t="s">
        <v>155</v>
      </c>
      <c r="BZ9" s="146" t="s">
        <v>156</v>
      </c>
      <c r="CA9" s="3"/>
      <c r="CB9" s="174" t="s">
        <v>155</v>
      </c>
      <c r="CC9" s="146" t="s">
        <v>156</v>
      </c>
      <c r="CD9" s="3"/>
      <c r="CE9" s="174" t="s">
        <v>155</v>
      </c>
      <c r="CF9" s="146" t="s">
        <v>156</v>
      </c>
      <c r="CG9" s="3"/>
      <c r="CH9" s="174" t="s">
        <v>155</v>
      </c>
      <c r="CI9" s="146" t="s">
        <v>156</v>
      </c>
      <c r="CJ9" s="3"/>
      <c r="CK9" s="174" t="s">
        <v>155</v>
      </c>
      <c r="CL9" s="146" t="s">
        <v>156</v>
      </c>
      <c r="CM9" s="3"/>
      <c r="CN9" s="174" t="s">
        <v>155</v>
      </c>
      <c r="CO9" s="146" t="s">
        <v>156</v>
      </c>
      <c r="CP9" s="3"/>
      <c r="CQ9" s="174" t="s">
        <v>155</v>
      </c>
      <c r="CR9" s="146" t="s">
        <v>156</v>
      </c>
      <c r="CS9" s="3"/>
      <c r="CT9" s="174" t="s">
        <v>155</v>
      </c>
      <c r="CU9" s="146" t="s">
        <v>156</v>
      </c>
      <c r="CV9" s="3"/>
      <c r="CW9" s="174" t="s">
        <v>155</v>
      </c>
      <c r="CX9" s="146" t="s">
        <v>156</v>
      </c>
      <c r="CY9" s="3"/>
      <c r="CZ9" s="174" t="s">
        <v>155</v>
      </c>
      <c r="DA9" s="146" t="s">
        <v>156</v>
      </c>
      <c r="DB9" s="3"/>
      <c r="DC9" s="174" t="s">
        <v>155</v>
      </c>
      <c r="DD9" s="146" t="s">
        <v>156</v>
      </c>
      <c r="DE9" s="3"/>
      <c r="DF9" s="174" t="s">
        <v>155</v>
      </c>
      <c r="DG9" s="146" t="s">
        <v>156</v>
      </c>
      <c r="DH9" s="3"/>
      <c r="DI9" s="174" t="s">
        <v>155</v>
      </c>
      <c r="DJ9" s="146" t="s">
        <v>156</v>
      </c>
      <c r="DK9" s="3"/>
      <c r="DL9" s="174" t="s">
        <v>155</v>
      </c>
      <c r="DM9" s="146" t="s">
        <v>156</v>
      </c>
      <c r="DN9" s="3"/>
      <c r="DO9" s="174" t="s">
        <v>155</v>
      </c>
      <c r="DP9" s="146" t="s">
        <v>156</v>
      </c>
      <c r="DQ9" s="3"/>
      <c r="DR9" s="174" t="s">
        <v>155</v>
      </c>
      <c r="DS9" s="146" t="s">
        <v>156</v>
      </c>
      <c r="DT9" s="3"/>
      <c r="DU9" s="174" t="s">
        <v>155</v>
      </c>
      <c r="DV9" s="146" t="s">
        <v>156</v>
      </c>
      <c r="DW9" s="3"/>
      <c r="DX9" s="174" t="s">
        <v>155</v>
      </c>
      <c r="DY9" s="146" t="s">
        <v>156</v>
      </c>
      <c r="DZ9" s="3"/>
      <c r="EA9" s="174" t="s">
        <v>155</v>
      </c>
      <c r="EB9" s="146" t="s">
        <v>156</v>
      </c>
      <c r="EC9" s="3"/>
      <c r="ED9" s="174" t="s">
        <v>155</v>
      </c>
      <c r="EE9" s="146" t="s">
        <v>156</v>
      </c>
      <c r="EF9" s="3"/>
      <c r="EG9" s="174" t="s">
        <v>155</v>
      </c>
      <c r="EH9" s="146" t="s">
        <v>156</v>
      </c>
      <c r="EI9" s="3"/>
      <c r="EJ9" s="174" t="s">
        <v>155</v>
      </c>
      <c r="EK9" s="146" t="s">
        <v>156</v>
      </c>
      <c r="EL9" s="3"/>
      <c r="EM9" s="174" t="s">
        <v>155</v>
      </c>
      <c r="EN9" s="146" t="s">
        <v>156</v>
      </c>
      <c r="EO9" s="3"/>
      <c r="EP9" s="174" t="s">
        <v>155</v>
      </c>
      <c r="EQ9" s="146" t="s">
        <v>156</v>
      </c>
      <c r="ER9" s="3"/>
      <c r="ES9" s="174" t="s">
        <v>155</v>
      </c>
      <c r="ET9" s="146" t="s">
        <v>156</v>
      </c>
      <c r="EU9" s="3"/>
    </row>
    <row r="10" spans="1:151" x14ac:dyDescent="0.2">
      <c r="A10" s="3"/>
      <c r="B10" s="107" t="s">
        <v>166</v>
      </c>
      <c r="C10" s="104">
        <v>10</v>
      </c>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t="s">
        <v>169</v>
      </c>
      <c r="C11" s="167">
        <v>90</v>
      </c>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C7">
      <formula1>NameLabelRange</formula1>
    </dataValidation>
    <dataValidation type="list" allowBlank="1" sqref="B10">
      <formula1>NameLabelRange</formula1>
    </dataValidation>
    <dataValidation type="list" allowBlank="1" sqref="B11">
      <formula1>NameLabelRange</formula1>
    </dataValidation>
    <dataValidation type="list" allowBlank="1" sqref="C10">
      <formula1>WSNumOutputObjects</formula1>
    </dataValidation>
    <dataValidation type="list" allowBlank="1" sqref="C11">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Arrivals</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Exp(.5)</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1</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Line 1</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Line 1</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Line 2</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Done</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Unlimited</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Unlimited</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Unlimited</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f>IF(INDEX(Buffers!$A$6:$EV$21,'Data Val lists'!$A38,'Data Val lists'!G$34)="","",INDEX(Buffers!$A$6:$EV$21,'Data Val lists'!$A38,'Data Val lists'!G$34))</f>
        <v>0</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f>IF(INDEX(Buffers!$A$6:$EV$21,'Data Val lists'!$A38,'Data Val lists'!J$34)="","",INDEX(Buffers!$A$6:$EV$21,'Data Val lists'!$A38,'Data Val lists'!J$34))</f>
        <v>0</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Insp 1</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Add Insp 1</v>
      </c>
      <c r="G41" s="109">
        <f>IF(INDEX(Buffers!$A$6:$EV$21,'Data Val lists'!$A41,'Data Val lists'!G$34)="","",INDEX(Buffers!$A$6:$EV$21,'Data Val lists'!$A41,'Data Val lists'!G$34))</f>
        <v>1</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Insp 2</v>
      </c>
      <c r="D42" s="109">
        <f>IF(INDEX(Buffers!$A$6:$EV$21,'Data Val lists'!$A42,'Data Val lists'!D$34)="","",INDEX(Buffers!$A$6:$EV$21,'Data Val lists'!$A42,'Data Val lists'!D$34))</f>
        <v>1</v>
      </c>
      <c r="E42" s="109" t="str">
        <f>IF(INDEX(Buffers!$A$6:$EV$21,'Data Val lists'!$A42,'Data Val lists'!E$34)="","",INDEX(Buffers!$A$6:$EV$21,'Data Val lists'!$A42,'Data Val lists'!E$34))</f>
        <v/>
      </c>
      <c r="F42" s="109" t="str">
        <f>IF(INDEX(Buffers!$A$6:$EV$21,'Data Val lists'!$A42,'Data Val lists'!F$34)="","",INDEX(Buffers!$A$6:$EV$21,'Data Val lists'!$A42,'Data Val lists'!F$34))</f>
        <v>Add Insp 2</v>
      </c>
      <c r="G42" s="109">
        <f>IF(INDEX(Buffers!$A$6:$EV$21,'Data Val lists'!$A42,'Data Val lists'!G$34)="","",INDEX(Buffers!$A$6:$EV$21,'Data Val lists'!$A42,'Data Val lists'!G$34))</f>
        <v>1</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Decision</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Line 2</v>
      </c>
      <c r="D60" s="109">
        <f>IF(INDEX('Decision Points'!$A$6:$EV$19,'Data Val lists'!$A60,'Data Val lists'!D$55)="","",INDEX('Decision Points'!$A$6:$EV$19,'Data Val lists'!$A60,'Data Val lists'!D$55))</f>
        <v>10</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Done</v>
      </c>
      <c r="D61" s="109">
        <f>IF(INDEX('Decision Points'!$A$6:$EV$19,'Data Val lists'!$A61,'Data Val lists'!D$55)="","",INDEX('Decision Points'!$A$6:$EV$19,'Data Val lists'!$A61,'Data Val lists'!D$55))</f>
        <v>90</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Insp 1</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Insp 2</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Add Insp 1</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Add Insp 2</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Nor(1,.1)</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Nor(1,.1)</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Nor(5,1)</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Nor(5,1)</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Decision</v>
      </c>
      <c r="D80" s="109">
        <f>IF(INDEX('Work Stations'!$A$6:$IR$20,'Data Val lists'!$A80,'Data Val lists'!D$74)="","",INDEX('Work Stations'!$A$6:$IR$20,'Data Val lists'!$A80,'Data Val lists'!D$74))</f>
        <v>1</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Decision</v>
      </c>
      <c r="I80" s="109">
        <f>IF(INDEX('Work Stations'!$A$6:$IR$20,'Data Val lists'!$A80,'Data Val lists'!I$74)="","",INDEX('Work Stations'!$A$6:$IR$20,'Data Val lists'!$A80,'Data Val lists'!I$74))</f>
        <v>1</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Done</v>
      </c>
      <c r="N80" s="109">
        <f>IF(INDEX('Work Stations'!$A$6:$IR$20,'Data Val lists'!$A80,'Data Val lists'!N$74)="","",INDEX('Work Stations'!$A$6:$IR$20,'Data Val lists'!$A80,'Data Val lists'!N$74))</f>
        <v>1</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Done</v>
      </c>
      <c r="S80" s="109">
        <f>IF(INDEX('Work Stations'!$A$6:$IR$20,'Data Val lists'!$A80,'Data Val lists'!S$74)="","",INDEX('Work Stations'!$A$6:$IR$20,'Data Val lists'!$A80,'Data Val lists'!S$74))</f>
        <v>1</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124</v>
      </c>
      <c r="AJ92" s="103" t="s">
        <v>136</v>
      </c>
    </row>
    <row r="93" spans="1:251" x14ac:dyDescent="0.2">
      <c r="A93" s="103" t="s">
        <v>100</v>
      </c>
      <c r="C93">
        <v>2</v>
      </c>
      <c r="D93">
        <v>3</v>
      </c>
      <c r="E93" s="110" t="str">
        <f>INDEX($B$5:$EU$20,C93,D93)</f>
        <v>Arrivals</v>
      </c>
      <c r="F93" t="s">
        <v>103</v>
      </c>
      <c r="G93" t="str">
        <f>IF(AND(COUNTBLANK($F$93:F93)=1,COUNTBLANK(F94)=0),F94,IF(COUNTBLANK($F$93:F93)=0,F93,""))</f>
        <v>Add Insp 1</v>
      </c>
      <c r="I93" s="89" t="s">
        <v>129</v>
      </c>
      <c r="N93" s="89" t="s">
        <v>129</v>
      </c>
      <c r="R93" s="89" t="s">
        <v>129</v>
      </c>
      <c r="X93" s="89" t="s">
        <v>106</v>
      </c>
      <c r="AB93" s="89" t="s">
        <v>129</v>
      </c>
      <c r="AG93" s="89" t="s">
        <v>120</v>
      </c>
      <c r="AJ93" s="89" t="s">
        <v>106</v>
      </c>
    </row>
    <row r="94" spans="1:251" x14ac:dyDescent="0.2">
      <c r="C94">
        <v>2</v>
      </c>
      <c r="D94">
        <f>3+D93</f>
        <v>6</v>
      </c>
      <c r="E94" s="110" t="str">
        <f t="shared" ref="E94:E157" si="0">INDEX($B$5:$EU$20,C94,D94)</f>
        <v/>
      </c>
      <c r="F94" t="s">
        <v>167</v>
      </c>
      <c r="G94" t="str">
        <f>IF(AND(COUNTBLANK($F$93:F94)=1,COUNTBLANK(F95)=0),F95,IF(COUNTBLANK($F$93:F94)=0,F94,""))</f>
        <v>Add Insp 2</v>
      </c>
      <c r="I94" s="89" t="s">
        <v>130</v>
      </c>
      <c r="N94" s="89" t="s">
        <v>130</v>
      </c>
      <c r="Q94" s="89"/>
      <c r="R94" s="89" t="s">
        <v>130</v>
      </c>
      <c r="X94" s="89" t="s">
        <v>113</v>
      </c>
      <c r="AB94" s="89" t="s">
        <v>130</v>
      </c>
      <c r="AG94" s="89" t="s">
        <v>123</v>
      </c>
      <c r="AJ94" s="89" t="s">
        <v>133</v>
      </c>
    </row>
    <row r="95" spans="1:251" x14ac:dyDescent="0.2">
      <c r="C95">
        <v>2</v>
      </c>
      <c r="D95">
        <f t="shared" ref="D95:D142" si="1">3+D94</f>
        <v>9</v>
      </c>
      <c r="E95" s="110" t="str">
        <f t="shared" si="0"/>
        <v/>
      </c>
      <c r="F95" t="s">
        <v>168</v>
      </c>
      <c r="G95" t="str">
        <f>IF(AND(COUNTBLANK($F$93:F95)=1,COUNTBLANK(F96)=0),F96,IF(COUNTBLANK($F$93:F95)=0,F95,""))</f>
        <v>Arrivals</v>
      </c>
      <c r="I95" s="89" t="s">
        <v>131</v>
      </c>
      <c r="N95" s="89" t="s">
        <v>131</v>
      </c>
      <c r="O95" s="89"/>
      <c r="Q95" s="89"/>
      <c r="R95" s="89" t="s">
        <v>131</v>
      </c>
      <c r="X95" s="89" t="s">
        <v>133</v>
      </c>
      <c r="AB95" s="89" t="s">
        <v>131</v>
      </c>
    </row>
    <row r="96" spans="1:251" x14ac:dyDescent="0.2">
      <c r="C96">
        <v>2</v>
      </c>
      <c r="D96">
        <f t="shared" si="1"/>
        <v>12</v>
      </c>
      <c r="E96" s="110" t="str">
        <f t="shared" si="0"/>
        <v/>
      </c>
      <c r="F96" t="s">
        <v>161</v>
      </c>
      <c r="G96" t="str">
        <f>IF(AND(COUNTBLANK($F$93:F96)=1,COUNTBLANK(F97)=0),F97,IF(COUNTBLANK($F$93:F96)=0,F96,""))</f>
        <v>Decision</v>
      </c>
      <c r="I96" s="89" t="s">
        <v>106</v>
      </c>
      <c r="N96" s="89" t="s">
        <v>106</v>
      </c>
      <c r="Q96" s="89"/>
      <c r="R96" s="89" t="s">
        <v>106</v>
      </c>
      <c r="AB96" s="89" t="s">
        <v>106</v>
      </c>
    </row>
    <row r="97" spans="3:28" x14ac:dyDescent="0.2">
      <c r="C97">
        <v>2</v>
      </c>
      <c r="D97">
        <f t="shared" si="1"/>
        <v>15</v>
      </c>
      <c r="E97" s="110" t="str">
        <f t="shared" si="0"/>
        <v/>
      </c>
      <c r="F97" t="s">
        <v>171</v>
      </c>
      <c r="G97" t="str">
        <f>IF(AND(COUNTBLANK($F$93:F97)=1,COUNTBLANK(F98)=0),F98,IF(COUNTBLANK($F$93:F97)=0,F97,""))</f>
        <v>Done</v>
      </c>
      <c r="I97" s="89" t="s">
        <v>132</v>
      </c>
      <c r="N97" s="89" t="s">
        <v>132</v>
      </c>
      <c r="Q97" s="89"/>
      <c r="R97" s="89" t="s">
        <v>132</v>
      </c>
      <c r="AB97" s="89" t="s">
        <v>132</v>
      </c>
    </row>
    <row r="98" spans="3:28" x14ac:dyDescent="0.2">
      <c r="C98">
        <v>2</v>
      </c>
      <c r="D98">
        <f t="shared" si="1"/>
        <v>18</v>
      </c>
      <c r="E98" s="110" t="str">
        <f t="shared" si="0"/>
        <v/>
      </c>
      <c r="F98" t="s">
        <v>169</v>
      </c>
      <c r="G98" t="str">
        <f>IF(AND(COUNTBLANK($F$93:F98)=1,COUNTBLANK(F99)=0),F99,IF(COUNTBLANK($F$93:F98)=0,F98,""))</f>
        <v>Insp 1</v>
      </c>
      <c r="I98" s="89" t="s">
        <v>118</v>
      </c>
      <c r="N98" s="89" t="s">
        <v>118</v>
      </c>
      <c r="Q98" s="89"/>
      <c r="R98" s="89" t="s">
        <v>135</v>
      </c>
      <c r="AB98" s="89" t="s">
        <v>133</v>
      </c>
    </row>
    <row r="99" spans="3:28" x14ac:dyDescent="0.2">
      <c r="C99">
        <v>2</v>
      </c>
      <c r="D99">
        <f t="shared" si="1"/>
        <v>21</v>
      </c>
      <c r="E99" s="110" t="str">
        <f t="shared" si="0"/>
        <v/>
      </c>
      <c r="F99" t="s">
        <v>164</v>
      </c>
      <c r="G99" t="str">
        <f>IF(AND(COUNTBLANK($F$93:F99)=1,COUNTBLANK(F100)=0),F100,IF(COUNTBLANK($F$93:F99)=0,F99,""))</f>
        <v>Insp 2</v>
      </c>
      <c r="I99" s="89" t="s">
        <v>133</v>
      </c>
      <c r="N99" s="89" t="s">
        <v>133</v>
      </c>
      <c r="R99" s="89" t="s">
        <v>133</v>
      </c>
      <c r="AB99" s="89"/>
    </row>
    <row r="100" spans="3:28" x14ac:dyDescent="0.2">
      <c r="C100">
        <v>2</v>
      </c>
      <c r="D100">
        <f t="shared" si="1"/>
        <v>24</v>
      </c>
      <c r="E100" s="110" t="str">
        <f t="shared" si="0"/>
        <v/>
      </c>
      <c r="F100" t="s">
        <v>165</v>
      </c>
      <c r="G100" t="str">
        <f>IF(AND(COUNTBLANK($F$93:F100)=1,COUNTBLANK(F101)=0),F101,IF(COUNTBLANK($F$93:F100)=0,F100,""))</f>
        <v>Line 1</v>
      </c>
      <c r="I100" s="89" t="s">
        <v>134</v>
      </c>
      <c r="N100" s="89" t="s">
        <v>134</v>
      </c>
      <c r="R100" s="89"/>
    </row>
    <row r="101" spans="3:28" x14ac:dyDescent="0.2">
      <c r="C101">
        <v>2</v>
      </c>
      <c r="D101">
        <f t="shared" si="1"/>
        <v>27</v>
      </c>
      <c r="E101" s="110" t="str">
        <f t="shared" si="0"/>
        <v/>
      </c>
      <c r="F101" t="s">
        <v>163</v>
      </c>
      <c r="G101" t="str">
        <f>IF(AND(COUNTBLANK($F$93:F101)=1,COUNTBLANK(F102)=0),F102,IF(COUNTBLANK($F$93:F101)=0,F101,""))</f>
        <v>Line 2</v>
      </c>
      <c r="I101" s="89" t="s">
        <v>135</v>
      </c>
    </row>
    <row r="102" spans="3:28" x14ac:dyDescent="0.2">
      <c r="C102">
        <v>2</v>
      </c>
      <c r="D102">
        <f t="shared" si="1"/>
        <v>30</v>
      </c>
      <c r="E102" s="110" t="str">
        <f t="shared" si="0"/>
        <v/>
      </c>
      <c r="F102" t="s">
        <v>166</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Line 1</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Line 1</v>
      </c>
      <c r="G693" t="str">
        <f>IF(AND(COUNTBLANK($F$93:F693)=1,COUNTBLANK(F694)=0),F694,IF(COUNTBLANK($F$93:F693)=0,F693,""))</f>
        <v/>
      </c>
    </row>
    <row r="694" spans="1:7" x14ac:dyDescent="0.2">
      <c r="A694" s="103" t="s">
        <v>100</v>
      </c>
      <c r="C694">
        <v>2</v>
      </c>
      <c r="D694">
        <f>3+D693</f>
        <v>6</v>
      </c>
      <c r="E694" s="110" t="str">
        <f t="shared" ref="E694:E757" si="29">INDEX($B$35:$EU$50,C694,D694)</f>
        <v>Line 2</v>
      </c>
      <c r="G694" t="str">
        <f>IF(AND(COUNTBLANK($F$93:F694)=1,COUNTBLANK(F695)=0),F695,IF(COUNTBLANK($F$93:F694)=0,F694,""))</f>
        <v/>
      </c>
    </row>
    <row r="695" spans="1:7" x14ac:dyDescent="0.2">
      <c r="C695">
        <v>2</v>
      </c>
      <c r="D695">
        <f t="shared" ref="D695:D731" si="30">3+D694</f>
        <v>9</v>
      </c>
      <c r="E695" s="110" t="str">
        <f t="shared" si="29"/>
        <v>Done</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Insp 1</v>
      </c>
      <c r="G743" t="str">
        <f>IF(AND(COUNTBLANK($F$93:F743)=1,COUNTBLANK(F744)=0),F744,IF(COUNTBLANK($F$93:F743)=0,F743,""))</f>
        <v/>
      </c>
    </row>
    <row r="744" spans="1:7" x14ac:dyDescent="0.2">
      <c r="A744" s="103" t="s">
        <v>101</v>
      </c>
      <c r="C744">
        <v>8</v>
      </c>
      <c r="D744" s="106">
        <v>2</v>
      </c>
      <c r="E744" s="110" t="str">
        <f t="shared" si="29"/>
        <v>Insp 2</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Add Insp 1</v>
      </c>
      <c r="G753" t="str">
        <f>IF(AND(COUNTBLANK($F$93:F753)=1,COUNTBLANK(F754)=0),F754,IF(COUNTBLANK($F$93:F753)=0,F753,""))</f>
        <v/>
      </c>
    </row>
    <row r="754" spans="3:7" x14ac:dyDescent="0.2">
      <c r="C754">
        <f t="shared" ref="C754:C817" si="32">C744</f>
        <v>8</v>
      </c>
      <c r="D754" s="106">
        <f t="shared" ref="D754:D817" si="33">D744+3</f>
        <v>5</v>
      </c>
      <c r="E754" s="110" t="str">
        <f t="shared" si="29"/>
        <v>Add Insp 2</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Decision</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Line 2</v>
      </c>
      <c r="G1293" t="str">
        <f>IF(AND(COUNTBLANK($F$93:F1293)=1,COUNTBLANK(F1294)=0),F1294,IF(COUNTBLANK($F$93:F1293)=0,F1293,""))</f>
        <v/>
      </c>
    </row>
    <row r="1294" spans="1:7" x14ac:dyDescent="0.2">
      <c r="A1294" s="103" t="s">
        <v>101</v>
      </c>
      <c r="C1294">
        <v>6</v>
      </c>
      <c r="D1294" s="106">
        <v>2</v>
      </c>
      <c r="E1294" s="110" t="str">
        <f t="shared" si="56"/>
        <v>Done</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Insp 1</v>
      </c>
      <c r="G1793" t="str">
        <f>IF(AND(COUNTBLANK($F$93:F1793)=1,COUNTBLANK(F1794)=0),F1794,IF(COUNTBLANK($F$93:F1793)=0,F1793,""))</f>
        <v/>
      </c>
    </row>
    <row r="1794" spans="1:7" x14ac:dyDescent="0.2">
      <c r="A1794" s="103" t="s">
        <v>100</v>
      </c>
      <c r="C1794">
        <v>2</v>
      </c>
      <c r="D1794">
        <f>D1793+5</f>
        <v>9</v>
      </c>
      <c r="E1794" s="110" t="str">
        <f t="shared" ref="E1794:E1857" si="91">INDEX($B$75:$IQ$89,C1794,D1794)</f>
        <v>Insp 2</v>
      </c>
      <c r="G1794" t="str">
        <f>IF(AND(COUNTBLANK($F$93:F1794)=1,COUNTBLANK(F1795)=0),F1795,IF(COUNTBLANK($F$93:F1794)=0,F1794,""))</f>
        <v/>
      </c>
    </row>
    <row r="1795" spans="1:7" x14ac:dyDescent="0.2">
      <c r="C1795">
        <v>2</v>
      </c>
      <c r="D1795">
        <f t="shared" ref="D1795:D1842" si="92">D1794+5</f>
        <v>14</v>
      </c>
      <c r="E1795" s="110" t="str">
        <f t="shared" si="91"/>
        <v>Add Insp 1</v>
      </c>
      <c r="G1795" t="str">
        <f>IF(AND(COUNTBLANK($F$93:F1795)=1,COUNTBLANK(F1796)=0),F1796,IF(COUNTBLANK($F$93:F1795)=0,F1795,""))</f>
        <v/>
      </c>
    </row>
    <row r="1796" spans="1:7" x14ac:dyDescent="0.2">
      <c r="C1796">
        <v>2</v>
      </c>
      <c r="D1796">
        <f t="shared" si="92"/>
        <v>19</v>
      </c>
      <c r="E1796" s="110" t="str">
        <f t="shared" si="91"/>
        <v>Add Insp 2</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Decision</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Decision</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Done</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Done</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A2" sqref="A2"/>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88" t="s">
        <v>154</v>
      </c>
      <c r="D20" s="121" t="s">
        <v>123</v>
      </c>
      <c r="E20" s="3"/>
      <c r="G20" s="3"/>
      <c r="H20" s="88" t="s">
        <v>154</v>
      </c>
      <c r="I20" s="121" t="s">
        <v>123</v>
      </c>
      <c r="J20" s="3"/>
    </row>
    <row r="21" spans="2:10" x14ac:dyDescent="0.2">
      <c r="B21" s="3"/>
      <c r="C21" s="3"/>
      <c r="D21" s="3"/>
      <c r="E21" s="3"/>
      <c r="G21" s="3"/>
      <c r="H21" s="3"/>
      <c r="I21" s="3"/>
      <c r="J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Z70"/>
  <sheetViews>
    <sheetView workbookViewId="0">
      <selection activeCell="C2" sqref="C2"/>
    </sheetView>
  </sheetViews>
  <sheetFormatPr defaultRowHeight="12.75" x14ac:dyDescent="0.2"/>
  <cols>
    <col min="1" max="1" width="15.28515625" customWidth="1"/>
    <col min="2" max="2" width="10.140625" customWidth="1"/>
    <col min="3" max="3" width="23.42578125" customWidth="1"/>
    <col min="4" max="4" width="8.85546875" customWidth="1"/>
    <col min="5" max="6" width="7.85546875" customWidth="1"/>
    <col min="7" max="9" width="11.28515625" customWidth="1"/>
    <col min="10" max="10" width="7.85546875" customWidth="1"/>
    <col min="11" max="15" width="11.28515625" customWidth="1"/>
    <col min="16" max="16" width="7.85546875" customWidth="1"/>
    <col min="17" max="17" width="11.28515625" customWidth="1"/>
    <col min="18" max="18" width="7.85546875" customWidth="1"/>
    <col min="19" max="22" width="11.28515625" customWidth="1"/>
    <col min="23" max="24" width="7.85546875" customWidth="1"/>
    <col min="25" max="26" width="11.28515625" customWidth="1"/>
    <col min="27" max="27" width="7.85546875" customWidth="1"/>
    <col min="28" max="33" width="11.28515625" customWidth="1"/>
    <col min="34" max="35" width="7.85546875" customWidth="1"/>
    <col min="36" max="36" width="11.28515625" customWidth="1"/>
    <col min="37" max="37" width="7.85546875" customWidth="1"/>
    <col min="38" max="40" width="11.28515625" customWidth="1"/>
    <col min="41" max="43" width="7.85546875" customWidth="1"/>
    <col min="44" max="48" width="11.28515625" customWidth="1"/>
    <col min="49" max="49" width="7.85546875" customWidth="1"/>
    <col min="50" max="51" width="11.28515625" customWidth="1"/>
    <col min="52" max="52" width="7.85546875" customWidth="1"/>
    <col min="53" max="53" width="11.28515625" customWidth="1"/>
    <col min="54" max="54" width="7.85546875" customWidth="1"/>
    <col min="55" max="56" width="11.28515625" customWidth="1"/>
    <col min="57" max="58" width="7.85546875" customWidth="1"/>
    <col min="59" max="59" width="11.28515625" customWidth="1"/>
    <col min="60" max="61" width="7.85546875" customWidth="1"/>
    <col min="62" max="64" width="11.28515625" customWidth="1"/>
    <col min="65" max="65" width="7.85546875" customWidth="1"/>
    <col min="66" max="68" width="11.28515625" customWidth="1"/>
    <col min="69" max="69" width="7.85546875" customWidth="1"/>
    <col min="70" max="70" width="11.28515625" customWidth="1"/>
    <col min="71" max="71" width="7.85546875" customWidth="1"/>
    <col min="72" max="80" width="11.28515625" customWidth="1"/>
    <col min="81" max="81" width="7.85546875" customWidth="1"/>
    <col min="82" max="82" width="11.28515625" customWidth="1"/>
    <col min="83" max="83" width="7.85546875" customWidth="1"/>
    <col min="84" max="86" width="11.28515625" customWidth="1"/>
    <col min="87" max="87" width="7.85546875" customWidth="1"/>
    <col min="88" max="88" width="11.28515625" customWidth="1"/>
    <col min="89" max="89" width="7.85546875" customWidth="1"/>
    <col min="90" max="90" width="11.28515625" customWidth="1"/>
    <col min="91" max="91" width="7.85546875" customWidth="1"/>
    <col min="92" max="95" width="11.28515625" customWidth="1"/>
    <col min="96" max="96" width="7.85546875" customWidth="1"/>
    <col min="97" max="98" width="11.28515625" customWidth="1"/>
    <col min="99" max="99" width="7.85546875" customWidth="1"/>
    <col min="100" max="100" width="11.28515625" customWidth="1"/>
    <col min="101" max="101" width="7.85546875" customWidth="1"/>
    <col min="102" max="104" width="11.28515625" customWidth="1"/>
    <col min="105" max="204" width="11.28515625" bestFit="1" customWidth="1"/>
  </cols>
  <sheetData>
    <row r="1" spans="1:104" ht="18" x14ac:dyDescent="0.25">
      <c r="A1" s="1" t="s">
        <v>62</v>
      </c>
    </row>
    <row r="3" spans="1:104" ht="15.75" x14ac:dyDescent="0.25">
      <c r="A3" s="66" t="s">
        <v>63</v>
      </c>
      <c r="B3" s="80" t="s">
        <v>63</v>
      </c>
      <c r="C3" s="67" t="s">
        <v>64</v>
      </c>
      <c r="D3" s="130" t="s">
        <v>159</v>
      </c>
      <c r="E3" s="179" t="s">
        <v>173</v>
      </c>
    </row>
    <row r="4" spans="1:104" ht="16.5" thickBot="1" x14ac:dyDescent="0.3">
      <c r="A4" s="84" t="s">
        <v>65</v>
      </c>
      <c r="B4" s="85" t="s">
        <v>66</v>
      </c>
      <c r="C4" s="86"/>
      <c r="D4" s="84" t="s">
        <v>160</v>
      </c>
      <c r="E4" s="179">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c r="AI4" s="130">
        <v>31</v>
      </c>
      <c r="AJ4" s="130">
        <v>32</v>
      </c>
      <c r="AK4" s="130">
        <v>33</v>
      </c>
      <c r="AL4" s="130">
        <v>34</v>
      </c>
      <c r="AM4" s="130">
        <v>35</v>
      </c>
      <c r="AN4" s="130">
        <v>36</v>
      </c>
      <c r="AO4" s="130">
        <v>37</v>
      </c>
      <c r="AP4" s="130">
        <v>38</v>
      </c>
      <c r="AQ4" s="130">
        <v>39</v>
      </c>
      <c r="AR4" s="130">
        <v>40</v>
      </c>
      <c r="AS4" s="130">
        <v>41</v>
      </c>
      <c r="AT4" s="130">
        <v>42</v>
      </c>
      <c r="AU4" s="130">
        <v>43</v>
      </c>
      <c r="AV4" s="130">
        <v>44</v>
      </c>
      <c r="AW4" s="130">
        <v>45</v>
      </c>
      <c r="AX4" s="130">
        <v>46</v>
      </c>
      <c r="AY4" s="130">
        <v>47</v>
      </c>
      <c r="AZ4" s="130">
        <v>48</v>
      </c>
      <c r="BA4" s="130">
        <v>49</v>
      </c>
      <c r="BB4" s="130">
        <v>50</v>
      </c>
      <c r="BC4" s="130">
        <v>51</v>
      </c>
      <c r="BD4" s="130">
        <v>52</v>
      </c>
      <c r="BE4" s="130">
        <v>53</v>
      </c>
      <c r="BF4" s="130">
        <v>54</v>
      </c>
      <c r="BG4" s="130">
        <v>55</v>
      </c>
      <c r="BH4" s="130">
        <v>56</v>
      </c>
      <c r="BI4" s="130">
        <v>57</v>
      </c>
      <c r="BJ4" s="130">
        <v>58</v>
      </c>
      <c r="BK4" s="130">
        <v>59</v>
      </c>
      <c r="BL4" s="130">
        <v>60</v>
      </c>
      <c r="BM4" s="130">
        <v>61</v>
      </c>
      <c r="BN4" s="130">
        <v>62</v>
      </c>
      <c r="BO4" s="130">
        <v>63</v>
      </c>
      <c r="BP4" s="130">
        <v>64</v>
      </c>
      <c r="BQ4" s="130">
        <v>65</v>
      </c>
      <c r="BR4" s="130">
        <v>66</v>
      </c>
      <c r="BS4" s="130">
        <v>67</v>
      </c>
      <c r="BT4" s="130">
        <v>68</v>
      </c>
      <c r="BU4" s="130">
        <v>69</v>
      </c>
      <c r="BV4" s="130">
        <v>70</v>
      </c>
      <c r="BW4" s="130">
        <v>71</v>
      </c>
      <c r="BX4" s="130">
        <v>72</v>
      </c>
      <c r="BY4" s="130">
        <v>73</v>
      </c>
      <c r="BZ4" s="130">
        <v>74</v>
      </c>
      <c r="CA4" s="130">
        <v>75</v>
      </c>
      <c r="CB4" s="130">
        <v>76</v>
      </c>
      <c r="CC4" s="130">
        <v>77</v>
      </c>
      <c r="CD4" s="130">
        <v>78</v>
      </c>
      <c r="CE4" s="130">
        <v>79</v>
      </c>
      <c r="CF4" s="130">
        <v>80</v>
      </c>
      <c r="CG4" s="130">
        <v>81</v>
      </c>
      <c r="CH4" s="130">
        <v>82</v>
      </c>
      <c r="CI4" s="130">
        <v>83</v>
      </c>
      <c r="CJ4" s="130">
        <v>84</v>
      </c>
      <c r="CK4" s="130">
        <v>85</v>
      </c>
      <c r="CL4" s="130">
        <v>86</v>
      </c>
      <c r="CM4" s="130">
        <v>87</v>
      </c>
      <c r="CN4" s="130">
        <v>88</v>
      </c>
      <c r="CO4" s="130">
        <v>89</v>
      </c>
      <c r="CP4" s="130">
        <v>90</v>
      </c>
      <c r="CQ4" s="130">
        <v>91</v>
      </c>
      <c r="CR4" s="130">
        <v>92</v>
      </c>
      <c r="CS4" s="130">
        <v>93</v>
      </c>
      <c r="CT4" s="130">
        <v>94</v>
      </c>
      <c r="CU4" s="130">
        <v>95</v>
      </c>
      <c r="CV4" s="130">
        <v>96</v>
      </c>
      <c r="CW4" s="130">
        <v>97</v>
      </c>
      <c r="CX4" s="130">
        <v>98</v>
      </c>
      <c r="CY4" s="130">
        <v>99</v>
      </c>
      <c r="CZ4" s="130">
        <v>100</v>
      </c>
    </row>
    <row r="5" spans="1:104" x14ac:dyDescent="0.2">
      <c r="E5" s="183"/>
      <c r="F5" s="184"/>
      <c r="G5" s="184"/>
      <c r="H5" s="184"/>
      <c r="I5" s="184"/>
      <c r="J5" s="184"/>
      <c r="K5" s="184"/>
      <c r="L5" s="184"/>
      <c r="M5" s="184"/>
      <c r="N5" s="184"/>
      <c r="O5" s="184"/>
      <c r="P5" s="184"/>
      <c r="Q5" s="184"/>
      <c r="R5" s="184"/>
      <c r="S5" s="184"/>
      <c r="T5" s="184"/>
      <c r="U5" s="184"/>
      <c r="V5" s="184"/>
      <c r="W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row>
    <row r="6" spans="1:104" x14ac:dyDescent="0.2">
      <c r="A6" t="s">
        <v>174</v>
      </c>
      <c r="B6" t="s">
        <v>161</v>
      </c>
      <c r="C6" t="s">
        <v>175</v>
      </c>
      <c r="D6" s="177">
        <v>238.8</v>
      </c>
      <c r="E6" s="180">
        <v>248</v>
      </c>
      <c r="F6">
        <v>245</v>
      </c>
      <c r="G6">
        <v>249</v>
      </c>
      <c r="H6">
        <v>234</v>
      </c>
      <c r="I6">
        <v>251</v>
      </c>
      <c r="J6">
        <v>220</v>
      </c>
      <c r="K6">
        <v>226</v>
      </c>
      <c r="L6">
        <v>233</v>
      </c>
      <c r="M6">
        <v>269</v>
      </c>
      <c r="N6">
        <v>230</v>
      </c>
      <c r="O6">
        <v>247</v>
      </c>
      <c r="P6">
        <v>241</v>
      </c>
      <c r="Q6">
        <v>224</v>
      </c>
      <c r="R6">
        <v>225</v>
      </c>
      <c r="S6">
        <v>225</v>
      </c>
      <c r="T6">
        <v>232</v>
      </c>
      <c r="U6">
        <v>236</v>
      </c>
      <c r="V6">
        <v>248</v>
      </c>
      <c r="W6">
        <v>257</v>
      </c>
      <c r="X6">
        <v>253</v>
      </c>
      <c r="Y6">
        <v>230</v>
      </c>
      <c r="Z6">
        <v>242</v>
      </c>
      <c r="AA6">
        <v>262</v>
      </c>
      <c r="AB6">
        <v>247</v>
      </c>
      <c r="AC6">
        <v>250</v>
      </c>
      <c r="AD6">
        <v>238</v>
      </c>
      <c r="AE6">
        <v>243</v>
      </c>
      <c r="AF6">
        <v>248</v>
      </c>
      <c r="AG6">
        <v>225</v>
      </c>
      <c r="AH6">
        <v>228</v>
      </c>
      <c r="AI6">
        <v>278</v>
      </c>
      <c r="AJ6">
        <v>236</v>
      </c>
      <c r="AK6">
        <v>236</v>
      </c>
      <c r="AL6">
        <v>252</v>
      </c>
      <c r="AM6">
        <v>251</v>
      </c>
      <c r="AN6">
        <v>241</v>
      </c>
      <c r="AO6">
        <v>239</v>
      </c>
      <c r="AP6">
        <v>251</v>
      </c>
      <c r="AQ6">
        <v>233</v>
      </c>
      <c r="AR6">
        <v>257</v>
      </c>
      <c r="AS6">
        <v>207</v>
      </c>
      <c r="AT6">
        <v>226</v>
      </c>
      <c r="AU6">
        <v>262</v>
      </c>
      <c r="AV6">
        <v>245</v>
      </c>
      <c r="AW6">
        <v>266</v>
      </c>
      <c r="AX6">
        <v>218</v>
      </c>
      <c r="AY6">
        <v>252</v>
      </c>
      <c r="AZ6">
        <v>211</v>
      </c>
      <c r="BA6">
        <v>244</v>
      </c>
      <c r="BB6">
        <v>239</v>
      </c>
      <c r="BC6">
        <v>192</v>
      </c>
      <c r="BD6">
        <v>243</v>
      </c>
      <c r="BE6">
        <v>253</v>
      </c>
      <c r="BF6">
        <v>245</v>
      </c>
      <c r="BG6">
        <v>226</v>
      </c>
      <c r="BH6">
        <v>249</v>
      </c>
      <c r="BI6">
        <v>243</v>
      </c>
      <c r="BJ6">
        <v>237</v>
      </c>
      <c r="BK6">
        <v>272</v>
      </c>
      <c r="BL6">
        <v>277</v>
      </c>
      <c r="BM6">
        <v>217</v>
      </c>
      <c r="BN6">
        <v>228</v>
      </c>
      <c r="BO6">
        <v>220</v>
      </c>
      <c r="BP6">
        <v>218</v>
      </c>
      <c r="BQ6">
        <v>217</v>
      </c>
      <c r="BR6">
        <v>216</v>
      </c>
      <c r="BS6">
        <v>239</v>
      </c>
      <c r="BT6">
        <v>250</v>
      </c>
      <c r="BU6">
        <v>243</v>
      </c>
      <c r="BV6">
        <v>244</v>
      </c>
      <c r="BW6">
        <v>229</v>
      </c>
      <c r="BX6">
        <v>258</v>
      </c>
      <c r="BY6">
        <v>226</v>
      </c>
      <c r="BZ6">
        <v>234</v>
      </c>
      <c r="CA6">
        <v>235</v>
      </c>
      <c r="CB6">
        <v>236</v>
      </c>
      <c r="CC6">
        <v>226</v>
      </c>
      <c r="CD6">
        <v>247</v>
      </c>
      <c r="CE6">
        <v>239</v>
      </c>
      <c r="CF6">
        <v>247</v>
      </c>
      <c r="CG6">
        <v>240</v>
      </c>
      <c r="CH6">
        <v>243</v>
      </c>
      <c r="CI6">
        <v>258</v>
      </c>
      <c r="CJ6">
        <v>245</v>
      </c>
      <c r="CK6">
        <v>224</v>
      </c>
      <c r="CL6">
        <v>215</v>
      </c>
      <c r="CM6">
        <v>239</v>
      </c>
      <c r="CN6">
        <v>234</v>
      </c>
      <c r="CO6">
        <v>233</v>
      </c>
      <c r="CP6">
        <v>241</v>
      </c>
      <c r="CQ6">
        <v>234</v>
      </c>
      <c r="CR6">
        <v>215</v>
      </c>
      <c r="CS6">
        <v>244</v>
      </c>
      <c r="CT6">
        <v>236</v>
      </c>
      <c r="CU6">
        <v>239</v>
      </c>
      <c r="CV6">
        <v>257</v>
      </c>
      <c r="CW6">
        <v>250</v>
      </c>
      <c r="CX6">
        <v>198</v>
      </c>
      <c r="CY6">
        <v>232</v>
      </c>
      <c r="CZ6">
        <v>247</v>
      </c>
    </row>
    <row r="7" spans="1:104" x14ac:dyDescent="0.2">
      <c r="C7" t="s">
        <v>176</v>
      </c>
      <c r="D7" s="177">
        <v>0</v>
      </c>
      <c r="E7" s="180">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0</v>
      </c>
      <c r="CF7">
        <v>0</v>
      </c>
      <c r="CG7">
        <v>0</v>
      </c>
      <c r="CH7">
        <v>0</v>
      </c>
      <c r="CI7">
        <v>0</v>
      </c>
      <c r="CJ7">
        <v>0</v>
      </c>
      <c r="CK7">
        <v>0</v>
      </c>
      <c r="CL7">
        <v>0</v>
      </c>
      <c r="CM7">
        <v>0</v>
      </c>
      <c r="CN7">
        <v>0</v>
      </c>
      <c r="CO7">
        <v>0</v>
      </c>
      <c r="CP7">
        <v>0</v>
      </c>
      <c r="CQ7">
        <v>0</v>
      </c>
      <c r="CR7">
        <v>0</v>
      </c>
      <c r="CS7">
        <v>0</v>
      </c>
      <c r="CT7">
        <v>0</v>
      </c>
      <c r="CU7">
        <v>0</v>
      </c>
      <c r="CV7">
        <v>0</v>
      </c>
      <c r="CW7">
        <v>0</v>
      </c>
      <c r="CX7">
        <v>0</v>
      </c>
      <c r="CY7">
        <v>0</v>
      </c>
      <c r="CZ7">
        <v>0</v>
      </c>
    </row>
    <row r="8" spans="1:104" x14ac:dyDescent="0.2">
      <c r="C8" t="s">
        <v>177</v>
      </c>
      <c r="D8" s="177">
        <v>1</v>
      </c>
      <c r="E8" s="181">
        <v>1</v>
      </c>
      <c r="F8" s="177">
        <v>1</v>
      </c>
      <c r="G8" s="177">
        <v>1</v>
      </c>
      <c r="H8" s="177">
        <v>1</v>
      </c>
      <c r="I8" s="177">
        <v>1</v>
      </c>
      <c r="J8" s="177">
        <v>1</v>
      </c>
      <c r="K8" s="177">
        <v>1</v>
      </c>
      <c r="L8" s="177">
        <v>1</v>
      </c>
      <c r="M8" s="177">
        <v>1</v>
      </c>
      <c r="N8" s="177">
        <v>1</v>
      </c>
      <c r="O8" s="177">
        <v>1</v>
      </c>
      <c r="P8" s="177">
        <v>1</v>
      </c>
      <c r="Q8" s="177">
        <v>1</v>
      </c>
      <c r="R8" s="177">
        <v>1</v>
      </c>
      <c r="S8" s="177">
        <v>1</v>
      </c>
      <c r="T8" s="177">
        <v>1</v>
      </c>
      <c r="U8" s="177">
        <v>1</v>
      </c>
      <c r="V8" s="177">
        <v>1</v>
      </c>
      <c r="W8" s="177">
        <v>1</v>
      </c>
      <c r="X8" s="177">
        <v>1</v>
      </c>
      <c r="Y8" s="177">
        <v>1</v>
      </c>
      <c r="Z8" s="177">
        <v>1</v>
      </c>
      <c r="AA8" s="177">
        <v>1</v>
      </c>
      <c r="AB8" s="177">
        <v>1</v>
      </c>
      <c r="AC8" s="177">
        <v>1</v>
      </c>
      <c r="AD8" s="177">
        <v>1</v>
      </c>
      <c r="AE8" s="177">
        <v>1</v>
      </c>
      <c r="AF8" s="177">
        <v>1</v>
      </c>
      <c r="AG8" s="177">
        <v>1</v>
      </c>
      <c r="AH8" s="177">
        <v>1</v>
      </c>
      <c r="AI8" s="177">
        <v>1</v>
      </c>
      <c r="AJ8" s="177">
        <v>1</v>
      </c>
      <c r="AK8" s="177">
        <v>1</v>
      </c>
      <c r="AL8" s="177">
        <v>1</v>
      </c>
      <c r="AM8" s="177">
        <v>1</v>
      </c>
      <c r="AN8" s="177">
        <v>1</v>
      </c>
      <c r="AO8" s="177">
        <v>1</v>
      </c>
      <c r="AP8" s="177">
        <v>1</v>
      </c>
      <c r="AQ8" s="177">
        <v>1</v>
      </c>
      <c r="AR8" s="177">
        <v>1</v>
      </c>
      <c r="AS8" s="177">
        <v>1</v>
      </c>
      <c r="AT8" s="177">
        <v>1</v>
      </c>
      <c r="AU8" s="177">
        <v>1</v>
      </c>
      <c r="AV8" s="177">
        <v>1</v>
      </c>
      <c r="AW8" s="177">
        <v>1</v>
      </c>
      <c r="AX8" s="177">
        <v>1</v>
      </c>
      <c r="AY8" s="177">
        <v>1</v>
      </c>
      <c r="AZ8" s="177">
        <v>1</v>
      </c>
      <c r="BA8" s="177">
        <v>1</v>
      </c>
      <c r="BB8" s="177">
        <v>1</v>
      </c>
      <c r="BC8" s="177">
        <v>1</v>
      </c>
      <c r="BD8" s="177">
        <v>1</v>
      </c>
      <c r="BE8" s="177">
        <v>1</v>
      </c>
      <c r="BF8" s="177">
        <v>1</v>
      </c>
      <c r="BG8" s="177">
        <v>1</v>
      </c>
      <c r="BH8" s="177">
        <v>1</v>
      </c>
      <c r="BI8" s="177">
        <v>1</v>
      </c>
      <c r="BJ8" s="177">
        <v>1</v>
      </c>
      <c r="BK8" s="177">
        <v>1</v>
      </c>
      <c r="BL8" s="177">
        <v>1</v>
      </c>
      <c r="BM8" s="177">
        <v>1</v>
      </c>
      <c r="BN8" s="177">
        <v>1</v>
      </c>
      <c r="BO8" s="177">
        <v>1</v>
      </c>
      <c r="BP8" s="177">
        <v>1</v>
      </c>
      <c r="BQ8" s="177">
        <v>1</v>
      </c>
      <c r="BR8" s="177">
        <v>1</v>
      </c>
      <c r="BS8" s="177">
        <v>1</v>
      </c>
      <c r="BT8" s="177">
        <v>1</v>
      </c>
      <c r="BU8" s="177">
        <v>1</v>
      </c>
      <c r="BV8" s="177">
        <v>1</v>
      </c>
      <c r="BW8" s="177">
        <v>1</v>
      </c>
      <c r="BX8" s="177">
        <v>1</v>
      </c>
      <c r="BY8" s="177">
        <v>1</v>
      </c>
      <c r="BZ8" s="177">
        <v>1</v>
      </c>
      <c r="CA8" s="177">
        <v>1</v>
      </c>
      <c r="CB8" s="177">
        <v>1</v>
      </c>
      <c r="CC8" s="177">
        <v>1</v>
      </c>
      <c r="CD8" s="177">
        <v>1</v>
      </c>
      <c r="CE8" s="177">
        <v>1</v>
      </c>
      <c r="CF8" s="177">
        <v>1</v>
      </c>
      <c r="CG8" s="177">
        <v>1</v>
      </c>
      <c r="CH8" s="177">
        <v>1</v>
      </c>
      <c r="CI8" s="177">
        <v>1</v>
      </c>
      <c r="CJ8" s="177">
        <v>1</v>
      </c>
      <c r="CK8" s="177">
        <v>1</v>
      </c>
      <c r="CL8" s="177">
        <v>1</v>
      </c>
      <c r="CM8" s="177">
        <v>1</v>
      </c>
      <c r="CN8" s="177">
        <v>1</v>
      </c>
      <c r="CO8" s="177">
        <v>1</v>
      </c>
      <c r="CP8" s="177">
        <v>1</v>
      </c>
      <c r="CQ8" s="177">
        <v>1</v>
      </c>
      <c r="CR8" s="177">
        <v>1</v>
      </c>
      <c r="CS8" s="177">
        <v>1</v>
      </c>
      <c r="CT8" s="177">
        <v>1</v>
      </c>
      <c r="CU8" s="177">
        <v>1</v>
      </c>
      <c r="CV8" s="177">
        <v>1</v>
      </c>
      <c r="CW8" s="177">
        <v>1</v>
      </c>
      <c r="CX8" s="177">
        <v>1</v>
      </c>
      <c r="CY8" s="177">
        <v>1</v>
      </c>
      <c r="CZ8" s="177">
        <v>1</v>
      </c>
    </row>
    <row r="9" spans="1:104" x14ac:dyDescent="0.2">
      <c r="E9" s="180"/>
    </row>
    <row r="10" spans="1:104" x14ac:dyDescent="0.2">
      <c r="A10" t="s">
        <v>178</v>
      </c>
      <c r="B10" t="s">
        <v>164</v>
      </c>
      <c r="C10" t="s">
        <v>179</v>
      </c>
      <c r="D10" s="185" t="s">
        <v>197</v>
      </c>
      <c r="E10" s="180" t="s">
        <v>194</v>
      </c>
      <c r="F10" t="s">
        <v>194</v>
      </c>
      <c r="G10" t="s">
        <v>194</v>
      </c>
      <c r="H10" t="s">
        <v>194</v>
      </c>
      <c r="I10" t="s">
        <v>194</v>
      </c>
      <c r="J10" t="s">
        <v>194</v>
      </c>
      <c r="K10" t="s">
        <v>194</v>
      </c>
      <c r="L10" t="s">
        <v>194</v>
      </c>
      <c r="M10" t="s">
        <v>194</v>
      </c>
      <c r="N10" t="s">
        <v>194</v>
      </c>
      <c r="O10" t="s">
        <v>194</v>
      </c>
      <c r="P10" t="s">
        <v>194</v>
      </c>
      <c r="Q10" t="s">
        <v>196</v>
      </c>
      <c r="R10" t="s">
        <v>194</v>
      </c>
      <c r="S10" t="s">
        <v>194</v>
      </c>
      <c r="T10" t="s">
        <v>194</v>
      </c>
      <c r="U10" t="s">
        <v>194</v>
      </c>
      <c r="V10" t="s">
        <v>194</v>
      </c>
      <c r="W10" t="s">
        <v>194</v>
      </c>
      <c r="X10" t="s">
        <v>194</v>
      </c>
      <c r="Y10" t="s">
        <v>194</v>
      </c>
      <c r="Z10" t="s">
        <v>194</v>
      </c>
      <c r="AA10" t="s">
        <v>194</v>
      </c>
      <c r="AB10" t="s">
        <v>194</v>
      </c>
      <c r="AC10" t="s">
        <v>194</v>
      </c>
      <c r="AD10" t="s">
        <v>194</v>
      </c>
      <c r="AE10" t="s">
        <v>194</v>
      </c>
      <c r="AF10" t="s">
        <v>194</v>
      </c>
      <c r="AG10" t="s">
        <v>194</v>
      </c>
      <c r="AH10" t="s">
        <v>194</v>
      </c>
      <c r="AI10" t="s">
        <v>194</v>
      </c>
      <c r="AJ10" t="s">
        <v>194</v>
      </c>
      <c r="AK10" t="s">
        <v>194</v>
      </c>
      <c r="AL10" t="s">
        <v>194</v>
      </c>
      <c r="AM10" t="s">
        <v>194</v>
      </c>
      <c r="AN10" t="s">
        <v>194</v>
      </c>
      <c r="AO10" t="s">
        <v>194</v>
      </c>
      <c r="AP10" t="s">
        <v>194</v>
      </c>
      <c r="AQ10" t="s">
        <v>194</v>
      </c>
      <c r="AR10" t="s">
        <v>194</v>
      </c>
      <c r="AS10" t="s">
        <v>194</v>
      </c>
      <c r="AT10" t="s">
        <v>194</v>
      </c>
      <c r="AU10" t="s">
        <v>194</v>
      </c>
      <c r="AV10" t="s">
        <v>194</v>
      </c>
      <c r="AW10" t="s">
        <v>194</v>
      </c>
      <c r="AX10" t="s">
        <v>194</v>
      </c>
      <c r="AY10" t="s">
        <v>194</v>
      </c>
      <c r="AZ10" t="s">
        <v>194</v>
      </c>
      <c r="BA10" t="s">
        <v>194</v>
      </c>
      <c r="BB10" t="s">
        <v>194</v>
      </c>
      <c r="BC10" t="s">
        <v>194</v>
      </c>
      <c r="BD10" t="s">
        <v>194</v>
      </c>
      <c r="BE10" t="s">
        <v>194</v>
      </c>
      <c r="BF10" t="s">
        <v>194</v>
      </c>
      <c r="BG10" t="s">
        <v>196</v>
      </c>
      <c r="BH10" t="s">
        <v>194</v>
      </c>
      <c r="BI10" t="s">
        <v>194</v>
      </c>
      <c r="BJ10" t="s">
        <v>194</v>
      </c>
      <c r="BK10" t="s">
        <v>194</v>
      </c>
      <c r="BL10" t="s">
        <v>194</v>
      </c>
      <c r="BM10" t="s">
        <v>194</v>
      </c>
      <c r="BN10" t="s">
        <v>194</v>
      </c>
      <c r="BO10" t="s">
        <v>194</v>
      </c>
      <c r="BP10" t="s">
        <v>194</v>
      </c>
      <c r="BQ10" t="s">
        <v>194</v>
      </c>
      <c r="BR10" t="s">
        <v>196</v>
      </c>
      <c r="BS10" t="s">
        <v>194</v>
      </c>
      <c r="BT10" t="s">
        <v>194</v>
      </c>
      <c r="BU10" t="s">
        <v>194</v>
      </c>
      <c r="BV10" t="s">
        <v>194</v>
      </c>
      <c r="BW10" t="s">
        <v>194</v>
      </c>
      <c r="BX10" t="s">
        <v>194</v>
      </c>
      <c r="BY10" t="s">
        <v>194</v>
      </c>
      <c r="BZ10" t="s">
        <v>194</v>
      </c>
      <c r="CA10" t="s">
        <v>194</v>
      </c>
      <c r="CB10" t="s">
        <v>194</v>
      </c>
      <c r="CC10" t="s">
        <v>194</v>
      </c>
      <c r="CD10" t="s">
        <v>194</v>
      </c>
      <c r="CE10" t="s">
        <v>194</v>
      </c>
      <c r="CF10" t="s">
        <v>194</v>
      </c>
      <c r="CG10" t="s">
        <v>194</v>
      </c>
      <c r="CH10" t="s">
        <v>194</v>
      </c>
      <c r="CI10" t="s">
        <v>194</v>
      </c>
      <c r="CJ10" t="s">
        <v>194</v>
      </c>
      <c r="CK10" t="s">
        <v>194</v>
      </c>
      <c r="CL10" t="s">
        <v>194</v>
      </c>
      <c r="CM10" t="s">
        <v>194</v>
      </c>
      <c r="CN10" t="s">
        <v>194</v>
      </c>
      <c r="CO10" t="s">
        <v>194</v>
      </c>
      <c r="CP10" t="s">
        <v>194</v>
      </c>
      <c r="CQ10" t="s">
        <v>194</v>
      </c>
      <c r="CR10" t="s">
        <v>194</v>
      </c>
      <c r="CS10" t="s">
        <v>194</v>
      </c>
      <c r="CT10" t="s">
        <v>194</v>
      </c>
      <c r="CU10" t="s">
        <v>194</v>
      </c>
      <c r="CV10" t="s">
        <v>194</v>
      </c>
      <c r="CW10" t="s">
        <v>194</v>
      </c>
      <c r="CX10" t="s">
        <v>194</v>
      </c>
      <c r="CY10" t="s">
        <v>194</v>
      </c>
      <c r="CZ10" t="s">
        <v>194</v>
      </c>
    </row>
    <row r="11" spans="1:104" x14ac:dyDescent="0.2">
      <c r="C11" t="s">
        <v>180</v>
      </c>
      <c r="D11" s="177">
        <v>0</v>
      </c>
      <c r="E11" s="180">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c r="CX11">
        <v>0</v>
      </c>
      <c r="CY11">
        <v>0</v>
      </c>
      <c r="CZ11">
        <v>0</v>
      </c>
    </row>
    <row r="12" spans="1:104" x14ac:dyDescent="0.2">
      <c r="C12" t="s">
        <v>181</v>
      </c>
      <c r="D12" s="177">
        <v>0</v>
      </c>
      <c r="E12" s="181">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7">
        <v>0</v>
      </c>
      <c r="W12" s="177">
        <v>0</v>
      </c>
      <c r="X12" s="177">
        <v>0</v>
      </c>
      <c r="Y12" s="177">
        <v>0</v>
      </c>
      <c r="Z12" s="177">
        <v>0</v>
      </c>
      <c r="AA12" s="177">
        <v>0</v>
      </c>
      <c r="AB12" s="177">
        <v>0</v>
      </c>
      <c r="AC12" s="177">
        <v>0</v>
      </c>
      <c r="AD12" s="177">
        <v>0</v>
      </c>
      <c r="AE12" s="177">
        <v>0</v>
      </c>
      <c r="AF12" s="177">
        <v>0</v>
      </c>
      <c r="AG12" s="177">
        <v>0</v>
      </c>
      <c r="AH12" s="177">
        <v>0</v>
      </c>
      <c r="AI12" s="177">
        <v>0</v>
      </c>
      <c r="AJ12" s="177">
        <v>0</v>
      </c>
      <c r="AK12" s="177">
        <v>0</v>
      </c>
      <c r="AL12" s="177">
        <v>0</v>
      </c>
      <c r="AM12" s="177">
        <v>0</v>
      </c>
      <c r="AN12" s="177">
        <v>0</v>
      </c>
      <c r="AO12" s="177">
        <v>0</v>
      </c>
      <c r="AP12" s="177">
        <v>0</v>
      </c>
      <c r="AQ12" s="177">
        <v>0</v>
      </c>
      <c r="AR12" s="177">
        <v>0</v>
      </c>
      <c r="AS12" s="177">
        <v>0</v>
      </c>
      <c r="AT12" s="177">
        <v>0</v>
      </c>
      <c r="AU12" s="177">
        <v>0</v>
      </c>
      <c r="AV12" s="177">
        <v>0</v>
      </c>
      <c r="AW12" s="177">
        <v>0</v>
      </c>
      <c r="AX12" s="177">
        <v>0</v>
      </c>
      <c r="AY12" s="177">
        <v>0</v>
      </c>
      <c r="AZ12" s="177">
        <v>0</v>
      </c>
      <c r="BA12" s="177">
        <v>0</v>
      </c>
      <c r="BB12" s="177">
        <v>0</v>
      </c>
      <c r="BC12" s="177">
        <v>0</v>
      </c>
      <c r="BD12" s="177">
        <v>0</v>
      </c>
      <c r="BE12" s="177">
        <v>0</v>
      </c>
      <c r="BF12" s="177">
        <v>0</v>
      </c>
      <c r="BG12" s="177">
        <v>0</v>
      </c>
      <c r="BH12" s="177">
        <v>0</v>
      </c>
      <c r="BI12" s="177">
        <v>0</v>
      </c>
      <c r="BJ12" s="177">
        <v>0</v>
      </c>
      <c r="BK12" s="177">
        <v>0</v>
      </c>
      <c r="BL12" s="177">
        <v>0</v>
      </c>
      <c r="BM12" s="177">
        <v>0</v>
      </c>
      <c r="BN12" s="177">
        <v>0</v>
      </c>
      <c r="BO12" s="177">
        <v>0</v>
      </c>
      <c r="BP12" s="177">
        <v>0</v>
      </c>
      <c r="BQ12" s="177">
        <v>0</v>
      </c>
      <c r="BR12" s="177">
        <v>0</v>
      </c>
      <c r="BS12" s="177">
        <v>0</v>
      </c>
      <c r="BT12" s="177">
        <v>0</v>
      </c>
      <c r="BU12" s="177">
        <v>0</v>
      </c>
      <c r="BV12" s="177">
        <v>0</v>
      </c>
      <c r="BW12" s="177">
        <v>0</v>
      </c>
      <c r="BX12" s="177">
        <v>0</v>
      </c>
      <c r="BY12" s="177">
        <v>0</v>
      </c>
      <c r="BZ12" s="177">
        <v>0</v>
      </c>
      <c r="CA12" s="177">
        <v>0</v>
      </c>
      <c r="CB12" s="177">
        <v>0</v>
      </c>
      <c r="CC12" s="177">
        <v>0</v>
      </c>
      <c r="CD12" s="177">
        <v>0</v>
      </c>
      <c r="CE12" s="177">
        <v>0</v>
      </c>
      <c r="CF12" s="177">
        <v>0</v>
      </c>
      <c r="CG12" s="177">
        <v>0</v>
      </c>
      <c r="CH12" s="177">
        <v>0</v>
      </c>
      <c r="CI12" s="177">
        <v>0</v>
      </c>
      <c r="CJ12" s="177">
        <v>0</v>
      </c>
      <c r="CK12" s="177">
        <v>0</v>
      </c>
      <c r="CL12" s="177">
        <v>0</v>
      </c>
      <c r="CM12" s="177">
        <v>0</v>
      </c>
      <c r="CN12" s="177">
        <v>0</v>
      </c>
      <c r="CO12" s="177">
        <v>0</v>
      </c>
      <c r="CP12" s="177">
        <v>0</v>
      </c>
      <c r="CQ12" s="177">
        <v>0</v>
      </c>
      <c r="CR12" s="177">
        <v>0</v>
      </c>
      <c r="CS12" s="177">
        <v>0</v>
      </c>
      <c r="CT12" s="177">
        <v>0</v>
      </c>
      <c r="CU12" s="177">
        <v>0</v>
      </c>
      <c r="CV12" s="177">
        <v>0</v>
      </c>
      <c r="CW12" s="177">
        <v>0</v>
      </c>
      <c r="CX12" s="177">
        <v>0</v>
      </c>
      <c r="CY12" s="177">
        <v>0</v>
      </c>
      <c r="CZ12" s="177">
        <v>0</v>
      </c>
    </row>
    <row r="13" spans="1:104" x14ac:dyDescent="0.2">
      <c r="C13" t="s">
        <v>182</v>
      </c>
      <c r="D13" s="177">
        <v>0</v>
      </c>
      <c r="E13" s="181">
        <v>0</v>
      </c>
      <c r="F13" s="177">
        <v>0</v>
      </c>
      <c r="G13" s="177">
        <v>0</v>
      </c>
      <c r="H13" s="177">
        <v>0</v>
      </c>
      <c r="I13" s="177">
        <v>0</v>
      </c>
      <c r="J13" s="177">
        <v>0</v>
      </c>
      <c r="K13" s="177">
        <v>0</v>
      </c>
      <c r="L13" s="177">
        <v>0</v>
      </c>
      <c r="M13" s="177">
        <v>0</v>
      </c>
      <c r="N13" s="177">
        <v>0</v>
      </c>
      <c r="O13" s="177">
        <v>0</v>
      </c>
      <c r="P13" s="177">
        <v>0</v>
      </c>
      <c r="Q13" s="177">
        <v>0</v>
      </c>
      <c r="R13" s="177">
        <v>0</v>
      </c>
      <c r="S13" s="177">
        <v>0</v>
      </c>
      <c r="T13" s="177">
        <v>0</v>
      </c>
      <c r="U13" s="177">
        <v>0</v>
      </c>
      <c r="V13" s="177">
        <v>0</v>
      </c>
      <c r="W13" s="177">
        <v>0</v>
      </c>
      <c r="X13" s="177">
        <v>0</v>
      </c>
      <c r="Y13" s="177">
        <v>0</v>
      </c>
      <c r="Z13" s="177">
        <v>0</v>
      </c>
      <c r="AA13" s="177">
        <v>0</v>
      </c>
      <c r="AB13" s="177">
        <v>0</v>
      </c>
      <c r="AC13" s="177">
        <v>0</v>
      </c>
      <c r="AD13" s="177">
        <v>0</v>
      </c>
      <c r="AE13" s="177">
        <v>0</v>
      </c>
      <c r="AF13" s="177">
        <v>0</v>
      </c>
      <c r="AG13" s="177">
        <v>0</v>
      </c>
      <c r="AH13" s="177">
        <v>0</v>
      </c>
      <c r="AI13" s="177">
        <v>0</v>
      </c>
      <c r="AJ13" s="177">
        <v>0</v>
      </c>
      <c r="AK13" s="177">
        <v>0</v>
      </c>
      <c r="AL13" s="177">
        <v>0</v>
      </c>
      <c r="AM13" s="177">
        <v>0</v>
      </c>
      <c r="AN13" s="177">
        <v>0</v>
      </c>
      <c r="AO13" s="177">
        <v>0</v>
      </c>
      <c r="AP13" s="177">
        <v>0</v>
      </c>
      <c r="AQ13" s="177">
        <v>0</v>
      </c>
      <c r="AR13" s="177">
        <v>0</v>
      </c>
      <c r="AS13" s="177">
        <v>0</v>
      </c>
      <c r="AT13" s="177">
        <v>0</v>
      </c>
      <c r="AU13" s="177">
        <v>0</v>
      </c>
      <c r="AV13" s="177">
        <v>0</v>
      </c>
      <c r="AW13" s="177">
        <v>0</v>
      </c>
      <c r="AX13" s="177">
        <v>0</v>
      </c>
      <c r="AY13" s="177">
        <v>0</v>
      </c>
      <c r="AZ13" s="177">
        <v>0</v>
      </c>
      <c r="BA13" s="177">
        <v>0</v>
      </c>
      <c r="BB13" s="177">
        <v>0</v>
      </c>
      <c r="BC13" s="177">
        <v>0</v>
      </c>
      <c r="BD13" s="177">
        <v>0</v>
      </c>
      <c r="BE13" s="177">
        <v>0</v>
      </c>
      <c r="BF13" s="177">
        <v>0</v>
      </c>
      <c r="BG13" s="177">
        <v>0</v>
      </c>
      <c r="BH13" s="177">
        <v>0</v>
      </c>
      <c r="BI13" s="177">
        <v>0</v>
      </c>
      <c r="BJ13" s="177">
        <v>0</v>
      </c>
      <c r="BK13" s="177">
        <v>0</v>
      </c>
      <c r="BL13" s="177">
        <v>0</v>
      </c>
      <c r="BM13" s="177">
        <v>0</v>
      </c>
      <c r="BN13" s="177">
        <v>0</v>
      </c>
      <c r="BO13" s="177">
        <v>0</v>
      </c>
      <c r="BP13" s="177">
        <v>0</v>
      </c>
      <c r="BQ13" s="177">
        <v>0</v>
      </c>
      <c r="BR13" s="177">
        <v>0</v>
      </c>
      <c r="BS13" s="177">
        <v>0</v>
      </c>
      <c r="BT13" s="177">
        <v>0</v>
      </c>
      <c r="BU13" s="177">
        <v>0</v>
      </c>
      <c r="BV13" s="177">
        <v>0</v>
      </c>
      <c r="BW13" s="177">
        <v>0</v>
      </c>
      <c r="BX13" s="177">
        <v>0</v>
      </c>
      <c r="BY13" s="177">
        <v>0</v>
      </c>
      <c r="BZ13" s="177">
        <v>0</v>
      </c>
      <c r="CA13" s="177">
        <v>0</v>
      </c>
      <c r="CB13" s="177">
        <v>0</v>
      </c>
      <c r="CC13" s="177">
        <v>0</v>
      </c>
      <c r="CD13" s="177">
        <v>0</v>
      </c>
      <c r="CE13" s="177">
        <v>0</v>
      </c>
      <c r="CF13" s="177">
        <v>0</v>
      </c>
      <c r="CG13" s="177">
        <v>0</v>
      </c>
      <c r="CH13" s="177">
        <v>0</v>
      </c>
      <c r="CI13" s="177">
        <v>0</v>
      </c>
      <c r="CJ13" s="177">
        <v>0</v>
      </c>
      <c r="CK13" s="177">
        <v>0</v>
      </c>
      <c r="CL13" s="177">
        <v>0</v>
      </c>
      <c r="CM13" s="177">
        <v>0</v>
      </c>
      <c r="CN13" s="177">
        <v>0</v>
      </c>
      <c r="CO13" s="177">
        <v>0</v>
      </c>
      <c r="CP13" s="177">
        <v>0</v>
      </c>
      <c r="CQ13" s="177">
        <v>0</v>
      </c>
      <c r="CR13" s="177">
        <v>0</v>
      </c>
      <c r="CS13" s="177">
        <v>0</v>
      </c>
      <c r="CT13" s="177">
        <v>0</v>
      </c>
      <c r="CU13" s="177">
        <v>0</v>
      </c>
      <c r="CV13" s="177">
        <v>0</v>
      </c>
      <c r="CW13" s="177">
        <v>0</v>
      </c>
      <c r="CX13" s="177">
        <v>0</v>
      </c>
      <c r="CY13" s="177">
        <v>0</v>
      </c>
      <c r="CZ13" s="177">
        <v>0</v>
      </c>
    </row>
    <row r="14" spans="1:104" x14ac:dyDescent="0.2">
      <c r="C14" t="s">
        <v>183</v>
      </c>
      <c r="D14" s="177">
        <v>115.34</v>
      </c>
      <c r="E14" s="180">
        <v>118</v>
      </c>
      <c r="F14">
        <v>114</v>
      </c>
      <c r="G14">
        <v>121</v>
      </c>
      <c r="H14">
        <v>119</v>
      </c>
      <c r="I14">
        <v>116</v>
      </c>
      <c r="J14">
        <v>111</v>
      </c>
      <c r="K14">
        <v>112</v>
      </c>
      <c r="L14">
        <v>116</v>
      </c>
      <c r="M14">
        <v>117</v>
      </c>
      <c r="N14">
        <v>113</v>
      </c>
      <c r="O14">
        <v>114</v>
      </c>
      <c r="P14">
        <v>119</v>
      </c>
      <c r="Q14">
        <v>114</v>
      </c>
      <c r="R14">
        <v>111</v>
      </c>
      <c r="S14">
        <v>114</v>
      </c>
      <c r="T14">
        <v>116</v>
      </c>
      <c r="U14">
        <v>117</v>
      </c>
      <c r="V14">
        <v>118</v>
      </c>
      <c r="W14">
        <v>118</v>
      </c>
      <c r="X14">
        <v>120</v>
      </c>
      <c r="Y14">
        <v>113</v>
      </c>
      <c r="Z14">
        <v>117</v>
      </c>
      <c r="AA14">
        <v>122</v>
      </c>
      <c r="AB14">
        <v>116</v>
      </c>
      <c r="AC14">
        <v>119</v>
      </c>
      <c r="AD14">
        <v>116</v>
      </c>
      <c r="AE14">
        <v>121</v>
      </c>
      <c r="AF14">
        <v>119</v>
      </c>
      <c r="AG14">
        <v>114</v>
      </c>
      <c r="AH14">
        <v>110</v>
      </c>
      <c r="AI14">
        <v>117</v>
      </c>
      <c r="AJ14">
        <v>117</v>
      </c>
      <c r="AK14">
        <v>116</v>
      </c>
      <c r="AL14">
        <v>115</v>
      </c>
      <c r="AM14">
        <v>119</v>
      </c>
      <c r="AN14">
        <v>117</v>
      </c>
      <c r="AO14">
        <v>117</v>
      </c>
      <c r="AP14">
        <v>118</v>
      </c>
      <c r="AQ14">
        <v>115</v>
      </c>
      <c r="AR14">
        <v>121</v>
      </c>
      <c r="AS14">
        <v>109</v>
      </c>
      <c r="AT14">
        <v>109</v>
      </c>
      <c r="AU14">
        <v>120</v>
      </c>
      <c r="AV14">
        <v>113</v>
      </c>
      <c r="AW14">
        <v>120</v>
      </c>
      <c r="AX14">
        <v>112</v>
      </c>
      <c r="AY14">
        <v>116</v>
      </c>
      <c r="AZ14">
        <v>108</v>
      </c>
      <c r="BA14">
        <v>116</v>
      </c>
      <c r="BB14">
        <v>113</v>
      </c>
      <c r="BC14">
        <v>103</v>
      </c>
      <c r="BD14">
        <v>112</v>
      </c>
      <c r="BE14">
        <v>115</v>
      </c>
      <c r="BF14">
        <v>115</v>
      </c>
      <c r="BG14">
        <v>113</v>
      </c>
      <c r="BH14">
        <v>119</v>
      </c>
      <c r="BI14">
        <v>120</v>
      </c>
      <c r="BJ14">
        <v>115</v>
      </c>
      <c r="BK14">
        <v>121</v>
      </c>
      <c r="BL14">
        <v>118</v>
      </c>
      <c r="BM14">
        <v>110</v>
      </c>
      <c r="BN14">
        <v>112</v>
      </c>
      <c r="BO14">
        <v>110</v>
      </c>
      <c r="BP14">
        <v>110</v>
      </c>
      <c r="BQ14">
        <v>110</v>
      </c>
      <c r="BR14">
        <v>110</v>
      </c>
      <c r="BS14">
        <v>116</v>
      </c>
      <c r="BT14">
        <v>116</v>
      </c>
      <c r="BU14">
        <v>118</v>
      </c>
      <c r="BV14">
        <v>119</v>
      </c>
      <c r="BW14">
        <v>113</v>
      </c>
      <c r="BX14">
        <v>120</v>
      </c>
      <c r="BY14">
        <v>114</v>
      </c>
      <c r="BZ14">
        <v>114</v>
      </c>
      <c r="CA14">
        <v>117</v>
      </c>
      <c r="CB14">
        <v>117</v>
      </c>
      <c r="CC14">
        <v>112</v>
      </c>
      <c r="CD14">
        <v>119</v>
      </c>
      <c r="CE14">
        <v>117</v>
      </c>
      <c r="CF14">
        <v>118</v>
      </c>
      <c r="CG14">
        <v>117</v>
      </c>
      <c r="CH14">
        <v>115</v>
      </c>
      <c r="CI14">
        <v>120</v>
      </c>
      <c r="CJ14">
        <v>120</v>
      </c>
      <c r="CK14">
        <v>113</v>
      </c>
      <c r="CL14">
        <v>108</v>
      </c>
      <c r="CM14">
        <v>117</v>
      </c>
      <c r="CN14">
        <v>113</v>
      </c>
      <c r="CO14">
        <v>116</v>
      </c>
      <c r="CP14">
        <v>116</v>
      </c>
      <c r="CQ14">
        <v>117</v>
      </c>
      <c r="CR14">
        <v>108</v>
      </c>
      <c r="CS14">
        <v>117</v>
      </c>
      <c r="CT14">
        <v>114</v>
      </c>
      <c r="CU14">
        <v>117</v>
      </c>
      <c r="CV14">
        <v>117</v>
      </c>
      <c r="CW14">
        <v>117</v>
      </c>
      <c r="CX14">
        <v>103</v>
      </c>
      <c r="CY14">
        <v>116</v>
      </c>
      <c r="CZ14">
        <v>117</v>
      </c>
    </row>
    <row r="15" spans="1:104" x14ac:dyDescent="0.2">
      <c r="C15" t="s">
        <v>184</v>
      </c>
      <c r="D15" s="177">
        <v>0.95655571472515988</v>
      </c>
      <c r="E15" s="181">
        <v>0.98273463129509686</v>
      </c>
      <c r="F15" s="177">
        <v>0.94107621612868908</v>
      </c>
      <c r="G15" s="177">
        <v>0.99420000442454459</v>
      </c>
      <c r="H15" s="177">
        <v>0.97260807799773341</v>
      </c>
      <c r="I15" s="177">
        <v>0.96464437078596454</v>
      </c>
      <c r="J15" s="177">
        <v>0.92185914136356939</v>
      </c>
      <c r="K15" s="177">
        <v>0.92048402827733444</v>
      </c>
      <c r="L15" s="177">
        <v>0.96611875629681754</v>
      </c>
      <c r="M15" s="177">
        <v>0.98041033124083399</v>
      </c>
      <c r="N15" s="177">
        <v>0.95521473163927517</v>
      </c>
      <c r="O15" s="177">
        <v>0.96132393373000091</v>
      </c>
      <c r="P15" s="177">
        <v>0.97581289230369872</v>
      </c>
      <c r="Q15" s="177">
        <v>0.94446799409379623</v>
      </c>
      <c r="R15" s="177">
        <v>0.92082138204408159</v>
      </c>
      <c r="S15" s="177">
        <v>0.93557758797334523</v>
      </c>
      <c r="T15" s="177">
        <v>0.95868620736766352</v>
      </c>
      <c r="U15" s="177">
        <v>0.96241279291053339</v>
      </c>
      <c r="V15" s="177">
        <v>0.97363428520365536</v>
      </c>
      <c r="W15" s="177">
        <v>0.99519382636248721</v>
      </c>
      <c r="X15" s="177">
        <v>0.99458745787315961</v>
      </c>
      <c r="Y15" s="177">
        <v>0.93090345094129323</v>
      </c>
      <c r="Z15" s="177">
        <v>0.97127832877012676</v>
      </c>
      <c r="AA15" s="177">
        <v>0.99712999290243454</v>
      </c>
      <c r="AB15" s="177">
        <v>0.98098951545807267</v>
      </c>
      <c r="AC15" s="177">
        <v>0.97693566781901342</v>
      </c>
      <c r="AD15" s="177">
        <v>0.95196279390925709</v>
      </c>
      <c r="AE15" s="177">
        <v>0.98676171826380044</v>
      </c>
      <c r="AF15" s="177">
        <v>0.99400283095485287</v>
      </c>
      <c r="AG15" s="177">
        <v>0.9399227057918903</v>
      </c>
      <c r="AH15" s="177">
        <v>0.92118864948979939</v>
      </c>
      <c r="AI15" s="177">
        <v>0.96431378154327563</v>
      </c>
      <c r="AJ15" s="177">
        <v>0.95927665325782097</v>
      </c>
      <c r="AK15" s="177">
        <v>0.95199972263961841</v>
      </c>
      <c r="AL15" s="177">
        <v>0.96883003567477544</v>
      </c>
      <c r="AM15" s="177">
        <v>0.98802587821488908</v>
      </c>
      <c r="AN15" s="177">
        <v>0.96447609645037136</v>
      </c>
      <c r="AO15" s="177">
        <v>0.98863914894529614</v>
      </c>
      <c r="AP15" s="177">
        <v>0.96458564054035134</v>
      </c>
      <c r="AQ15" s="177">
        <v>0.9555684585925116</v>
      </c>
      <c r="AR15" s="177">
        <v>0.9950736177526075</v>
      </c>
      <c r="AS15" s="177">
        <v>0.90294900228827613</v>
      </c>
      <c r="AT15" s="177">
        <v>0.90934252838984198</v>
      </c>
      <c r="AU15" s="177">
        <v>0.99334484894674735</v>
      </c>
      <c r="AV15" s="177">
        <v>0.93354575788241978</v>
      </c>
      <c r="AW15" s="177">
        <v>0.99841568834639771</v>
      </c>
      <c r="AX15" s="177">
        <v>0.93309941235284988</v>
      </c>
      <c r="AY15" s="177">
        <v>0.97266494589435881</v>
      </c>
      <c r="AZ15" s="177">
        <v>0.89192671365711784</v>
      </c>
      <c r="BA15" s="177">
        <v>0.96762569988552161</v>
      </c>
      <c r="BB15" s="177">
        <v>0.93578732928117481</v>
      </c>
      <c r="BC15" s="177">
        <v>0.84549934482782518</v>
      </c>
      <c r="BD15" s="177">
        <v>0.92503571608413582</v>
      </c>
      <c r="BE15" s="177">
        <v>0.96226335160644183</v>
      </c>
      <c r="BF15" s="177">
        <v>0.95336903087145075</v>
      </c>
      <c r="BG15" s="177">
        <v>0.95871318825561291</v>
      </c>
      <c r="BH15" s="177">
        <v>0.98876682592682907</v>
      </c>
      <c r="BI15" s="177">
        <v>0.98914504388728208</v>
      </c>
      <c r="BJ15" s="177">
        <v>0.97266642842593243</v>
      </c>
      <c r="BK15" s="177">
        <v>0.9927524105938289</v>
      </c>
      <c r="BL15" s="177">
        <v>0.97999186671436267</v>
      </c>
      <c r="BM15" s="177">
        <v>0.90224181700939254</v>
      </c>
      <c r="BN15" s="177">
        <v>0.92898212368003064</v>
      </c>
      <c r="BO15" s="177">
        <v>0.90691902408605785</v>
      </c>
      <c r="BP15" s="177">
        <v>0.89856221417657212</v>
      </c>
      <c r="BQ15" s="177">
        <v>0.90423460435530556</v>
      </c>
      <c r="BR15" s="177">
        <v>0.92199540578815364</v>
      </c>
      <c r="BS15" s="177">
        <v>0.96818497537320103</v>
      </c>
      <c r="BT15" s="177">
        <v>0.96658398257506684</v>
      </c>
      <c r="BU15" s="177">
        <v>0.97605732093807007</v>
      </c>
      <c r="BV15" s="177">
        <v>0.98824805956033734</v>
      </c>
      <c r="BW15" s="177">
        <v>0.92442303431973383</v>
      </c>
      <c r="BX15" s="177">
        <v>0.9997491204341713</v>
      </c>
      <c r="BY15" s="177">
        <v>0.94781364277841296</v>
      </c>
      <c r="BZ15" s="177">
        <v>0.95747971639589124</v>
      </c>
      <c r="CA15" s="177">
        <v>0.97162915057067012</v>
      </c>
      <c r="CB15" s="177">
        <v>0.97901392579323054</v>
      </c>
      <c r="CC15" s="177">
        <v>0.92371400704501139</v>
      </c>
      <c r="CD15" s="177">
        <v>0.97756316046824432</v>
      </c>
      <c r="CE15" s="177">
        <v>0.96955018756204125</v>
      </c>
      <c r="CF15" s="177">
        <v>0.97543902213959321</v>
      </c>
      <c r="CG15" s="177">
        <v>0.96838966267221449</v>
      </c>
      <c r="CH15" s="177">
        <v>0.95590430572239127</v>
      </c>
      <c r="CI15" s="177">
        <v>0.98263205763211181</v>
      </c>
      <c r="CJ15" s="177">
        <v>0.99602592965102399</v>
      </c>
      <c r="CK15" s="177">
        <v>0.93582579492333806</v>
      </c>
      <c r="CL15" s="177">
        <v>0.90750324615990985</v>
      </c>
      <c r="CM15" s="177">
        <v>0.95652309602992081</v>
      </c>
      <c r="CN15" s="177">
        <v>0.93157642683510844</v>
      </c>
      <c r="CO15" s="177">
        <v>0.9567929333530879</v>
      </c>
      <c r="CP15" s="177">
        <v>0.9705748269434028</v>
      </c>
      <c r="CQ15" s="177">
        <v>0.97402516567013353</v>
      </c>
      <c r="CR15" s="177">
        <v>0.89055939657591987</v>
      </c>
      <c r="CS15" s="177">
        <v>0.97080140367499224</v>
      </c>
      <c r="CT15" s="177">
        <v>0.94728855855817684</v>
      </c>
      <c r="CU15" s="177">
        <v>0.96622195134122602</v>
      </c>
      <c r="CV15" s="177">
        <v>0.98610385224368713</v>
      </c>
      <c r="CW15" s="177">
        <v>0.99535830501289735</v>
      </c>
      <c r="CX15" s="177">
        <v>0.84822229033805852</v>
      </c>
      <c r="CY15" s="177">
        <v>0.97637050110156276</v>
      </c>
      <c r="CZ15" s="177">
        <v>0.96984880168491849</v>
      </c>
    </row>
    <row r="16" spans="1:104" x14ac:dyDescent="0.2">
      <c r="C16" t="s">
        <v>185</v>
      </c>
      <c r="D16" s="177">
        <v>0</v>
      </c>
      <c r="E16" s="181">
        <v>0</v>
      </c>
      <c r="F16" s="177">
        <v>0</v>
      </c>
      <c r="G16" s="177">
        <v>0</v>
      </c>
      <c r="H16" s="177">
        <v>0</v>
      </c>
      <c r="I16" s="177">
        <v>0</v>
      </c>
      <c r="J16" s="177">
        <v>0</v>
      </c>
      <c r="K16" s="177">
        <v>0</v>
      </c>
      <c r="L16" s="177">
        <v>0</v>
      </c>
      <c r="M16" s="177">
        <v>0</v>
      </c>
      <c r="N16" s="177">
        <v>0</v>
      </c>
      <c r="O16" s="177">
        <v>0</v>
      </c>
      <c r="P16" s="177">
        <v>0</v>
      </c>
      <c r="Q16" s="177">
        <v>0</v>
      </c>
      <c r="R16" s="177">
        <v>0</v>
      </c>
      <c r="S16" s="177">
        <v>0</v>
      </c>
      <c r="T16" s="177">
        <v>0</v>
      </c>
      <c r="U16" s="177">
        <v>0</v>
      </c>
      <c r="V16" s="177">
        <v>0</v>
      </c>
      <c r="W16" s="177">
        <v>0</v>
      </c>
      <c r="X16" s="177">
        <v>0</v>
      </c>
      <c r="Y16" s="177">
        <v>0</v>
      </c>
      <c r="Z16" s="177">
        <v>0</v>
      </c>
      <c r="AA16" s="177">
        <v>0</v>
      </c>
      <c r="AB16" s="177">
        <v>0</v>
      </c>
      <c r="AC16" s="177">
        <v>0</v>
      </c>
      <c r="AD16" s="177">
        <v>0</v>
      </c>
      <c r="AE16" s="177">
        <v>0</v>
      </c>
      <c r="AF16" s="177">
        <v>0</v>
      </c>
      <c r="AG16" s="177">
        <v>0</v>
      </c>
      <c r="AH16" s="177">
        <v>0</v>
      </c>
      <c r="AI16" s="177">
        <v>0</v>
      </c>
      <c r="AJ16" s="177">
        <v>0</v>
      </c>
      <c r="AK16" s="177">
        <v>0</v>
      </c>
      <c r="AL16" s="177">
        <v>0</v>
      </c>
      <c r="AM16" s="177">
        <v>0</v>
      </c>
      <c r="AN16" s="177">
        <v>0</v>
      </c>
      <c r="AO16" s="177">
        <v>0</v>
      </c>
      <c r="AP16" s="177">
        <v>0</v>
      </c>
      <c r="AQ16" s="177">
        <v>0</v>
      </c>
      <c r="AR16" s="177">
        <v>0</v>
      </c>
      <c r="AS16" s="177">
        <v>0</v>
      </c>
      <c r="AT16" s="177">
        <v>0</v>
      </c>
      <c r="AU16" s="177">
        <v>0</v>
      </c>
      <c r="AV16" s="177">
        <v>0</v>
      </c>
      <c r="AW16" s="177">
        <v>0</v>
      </c>
      <c r="AX16" s="177">
        <v>0</v>
      </c>
      <c r="AY16" s="177">
        <v>0</v>
      </c>
      <c r="AZ16" s="177">
        <v>0</v>
      </c>
      <c r="BA16" s="177">
        <v>0</v>
      </c>
      <c r="BB16" s="177">
        <v>0</v>
      </c>
      <c r="BC16" s="177">
        <v>0</v>
      </c>
      <c r="BD16" s="177">
        <v>0</v>
      </c>
      <c r="BE16" s="177">
        <v>0</v>
      </c>
      <c r="BF16" s="177">
        <v>0</v>
      </c>
      <c r="BG16" s="177">
        <v>0</v>
      </c>
      <c r="BH16" s="177">
        <v>0</v>
      </c>
      <c r="BI16" s="177">
        <v>0</v>
      </c>
      <c r="BJ16" s="177">
        <v>0</v>
      </c>
      <c r="BK16" s="177">
        <v>0</v>
      </c>
      <c r="BL16" s="177">
        <v>0</v>
      </c>
      <c r="BM16" s="177">
        <v>0</v>
      </c>
      <c r="BN16" s="177">
        <v>0</v>
      </c>
      <c r="BO16" s="177">
        <v>0</v>
      </c>
      <c r="BP16" s="177">
        <v>0</v>
      </c>
      <c r="BQ16" s="177">
        <v>0</v>
      </c>
      <c r="BR16" s="177">
        <v>0</v>
      </c>
      <c r="BS16" s="177">
        <v>0</v>
      </c>
      <c r="BT16" s="177">
        <v>0</v>
      </c>
      <c r="BU16" s="177">
        <v>0</v>
      </c>
      <c r="BV16" s="177">
        <v>0</v>
      </c>
      <c r="BW16" s="177">
        <v>0</v>
      </c>
      <c r="BX16" s="177">
        <v>0</v>
      </c>
      <c r="BY16" s="177">
        <v>0</v>
      </c>
      <c r="BZ16" s="177">
        <v>0</v>
      </c>
      <c r="CA16" s="177">
        <v>0</v>
      </c>
      <c r="CB16" s="177">
        <v>0</v>
      </c>
      <c r="CC16" s="177">
        <v>0</v>
      </c>
      <c r="CD16" s="177">
        <v>0</v>
      </c>
      <c r="CE16" s="177">
        <v>0</v>
      </c>
      <c r="CF16" s="177">
        <v>0</v>
      </c>
      <c r="CG16" s="177">
        <v>0</v>
      </c>
      <c r="CH16" s="177">
        <v>0</v>
      </c>
      <c r="CI16" s="177">
        <v>0</v>
      </c>
      <c r="CJ16" s="177">
        <v>0</v>
      </c>
      <c r="CK16" s="177">
        <v>0</v>
      </c>
      <c r="CL16" s="177">
        <v>0</v>
      </c>
      <c r="CM16" s="177">
        <v>0</v>
      </c>
      <c r="CN16" s="177">
        <v>0</v>
      </c>
      <c r="CO16" s="177">
        <v>0</v>
      </c>
      <c r="CP16" s="177">
        <v>0</v>
      </c>
      <c r="CQ16" s="177">
        <v>0</v>
      </c>
      <c r="CR16" s="177">
        <v>0</v>
      </c>
      <c r="CS16" s="177">
        <v>0</v>
      </c>
      <c r="CT16" s="177">
        <v>0</v>
      </c>
      <c r="CU16" s="177">
        <v>0</v>
      </c>
      <c r="CV16" s="177">
        <v>0</v>
      </c>
      <c r="CW16" s="177">
        <v>0</v>
      </c>
      <c r="CX16" s="177">
        <v>0</v>
      </c>
      <c r="CY16" s="177">
        <v>0</v>
      </c>
      <c r="CZ16" s="177">
        <v>0</v>
      </c>
    </row>
    <row r="17" spans="2:104" x14ac:dyDescent="0.2">
      <c r="E17" s="180"/>
    </row>
    <row r="18" spans="2:104" x14ac:dyDescent="0.2">
      <c r="B18" t="s">
        <v>165</v>
      </c>
      <c r="C18" t="s">
        <v>179</v>
      </c>
      <c r="D18" s="185" t="s">
        <v>197</v>
      </c>
      <c r="E18" s="180" t="s">
        <v>194</v>
      </c>
      <c r="F18" t="s">
        <v>194</v>
      </c>
      <c r="G18" t="s">
        <v>194</v>
      </c>
      <c r="H18" t="s">
        <v>194</v>
      </c>
      <c r="I18" t="s">
        <v>194</v>
      </c>
      <c r="J18" t="s">
        <v>194</v>
      </c>
      <c r="K18" t="s">
        <v>194</v>
      </c>
      <c r="L18" t="s">
        <v>194</v>
      </c>
      <c r="M18" t="s">
        <v>194</v>
      </c>
      <c r="N18" t="s">
        <v>194</v>
      </c>
      <c r="O18" t="s">
        <v>194</v>
      </c>
      <c r="P18" t="s">
        <v>194</v>
      </c>
      <c r="Q18" t="s">
        <v>196</v>
      </c>
      <c r="R18" t="s">
        <v>194</v>
      </c>
      <c r="S18" t="s">
        <v>194</v>
      </c>
      <c r="T18" t="s">
        <v>194</v>
      </c>
      <c r="U18" t="s">
        <v>194</v>
      </c>
      <c r="V18" t="s">
        <v>194</v>
      </c>
      <c r="W18" t="s">
        <v>194</v>
      </c>
      <c r="X18" t="s">
        <v>194</v>
      </c>
      <c r="Y18" t="s">
        <v>194</v>
      </c>
      <c r="Z18" t="s">
        <v>194</v>
      </c>
      <c r="AA18" t="s">
        <v>194</v>
      </c>
      <c r="AB18" t="s">
        <v>194</v>
      </c>
      <c r="AC18" t="s">
        <v>194</v>
      </c>
      <c r="AD18" t="s">
        <v>194</v>
      </c>
      <c r="AE18" t="s">
        <v>194</v>
      </c>
      <c r="AF18" t="s">
        <v>194</v>
      </c>
      <c r="AG18" t="s">
        <v>194</v>
      </c>
      <c r="AH18" t="s">
        <v>194</v>
      </c>
      <c r="AI18" t="s">
        <v>194</v>
      </c>
      <c r="AJ18" t="s">
        <v>194</v>
      </c>
      <c r="AK18" t="s">
        <v>194</v>
      </c>
      <c r="AL18" t="s">
        <v>194</v>
      </c>
      <c r="AM18" t="s">
        <v>194</v>
      </c>
      <c r="AN18" t="s">
        <v>194</v>
      </c>
      <c r="AO18" t="s">
        <v>194</v>
      </c>
      <c r="AP18" t="s">
        <v>194</v>
      </c>
      <c r="AQ18" t="s">
        <v>194</v>
      </c>
      <c r="AR18" t="s">
        <v>194</v>
      </c>
      <c r="AS18" t="s">
        <v>194</v>
      </c>
      <c r="AT18" t="s">
        <v>194</v>
      </c>
      <c r="AU18" t="s">
        <v>194</v>
      </c>
      <c r="AV18" t="s">
        <v>194</v>
      </c>
      <c r="AW18" t="s">
        <v>194</v>
      </c>
      <c r="AX18" t="s">
        <v>194</v>
      </c>
      <c r="AY18" t="s">
        <v>194</v>
      </c>
      <c r="AZ18" t="s">
        <v>194</v>
      </c>
      <c r="BA18" t="s">
        <v>194</v>
      </c>
      <c r="BB18" t="s">
        <v>194</v>
      </c>
      <c r="BC18" t="s">
        <v>194</v>
      </c>
      <c r="BD18" t="s">
        <v>194</v>
      </c>
      <c r="BE18" t="s">
        <v>194</v>
      </c>
      <c r="BF18" t="s">
        <v>194</v>
      </c>
      <c r="BG18" t="s">
        <v>194</v>
      </c>
      <c r="BH18" t="s">
        <v>194</v>
      </c>
      <c r="BI18" t="s">
        <v>194</v>
      </c>
      <c r="BJ18" t="s">
        <v>194</v>
      </c>
      <c r="BK18" t="s">
        <v>194</v>
      </c>
      <c r="BL18" t="s">
        <v>194</v>
      </c>
      <c r="BM18" t="s">
        <v>194</v>
      </c>
      <c r="BN18" t="s">
        <v>194</v>
      </c>
      <c r="BO18" t="s">
        <v>194</v>
      </c>
      <c r="BP18" t="s">
        <v>194</v>
      </c>
      <c r="BQ18" t="s">
        <v>194</v>
      </c>
      <c r="BR18" t="s">
        <v>196</v>
      </c>
      <c r="BS18" t="s">
        <v>194</v>
      </c>
      <c r="BT18" t="s">
        <v>194</v>
      </c>
      <c r="BU18" t="s">
        <v>194</v>
      </c>
      <c r="BV18" t="s">
        <v>194</v>
      </c>
      <c r="BW18" t="s">
        <v>194</v>
      </c>
      <c r="BX18" t="s">
        <v>194</v>
      </c>
      <c r="BY18" t="s">
        <v>194</v>
      </c>
      <c r="BZ18" t="s">
        <v>194</v>
      </c>
      <c r="CA18" t="s">
        <v>194</v>
      </c>
      <c r="CB18" t="s">
        <v>194</v>
      </c>
      <c r="CC18" t="s">
        <v>194</v>
      </c>
      <c r="CD18" t="s">
        <v>194</v>
      </c>
      <c r="CE18" t="s">
        <v>194</v>
      </c>
      <c r="CF18" t="s">
        <v>194</v>
      </c>
      <c r="CG18" t="s">
        <v>194</v>
      </c>
      <c r="CH18" t="s">
        <v>194</v>
      </c>
      <c r="CI18" t="s">
        <v>194</v>
      </c>
      <c r="CJ18" t="s">
        <v>194</v>
      </c>
      <c r="CK18" t="s">
        <v>194</v>
      </c>
      <c r="CL18" t="s">
        <v>194</v>
      </c>
      <c r="CM18" t="s">
        <v>194</v>
      </c>
      <c r="CN18" t="s">
        <v>194</v>
      </c>
      <c r="CO18" t="s">
        <v>194</v>
      </c>
      <c r="CP18" t="s">
        <v>194</v>
      </c>
      <c r="CQ18" t="s">
        <v>194</v>
      </c>
      <c r="CR18" t="s">
        <v>194</v>
      </c>
      <c r="CS18" t="s">
        <v>194</v>
      </c>
      <c r="CT18" t="s">
        <v>194</v>
      </c>
      <c r="CU18" t="s">
        <v>194</v>
      </c>
      <c r="CV18" t="s">
        <v>194</v>
      </c>
      <c r="CW18" t="s">
        <v>194</v>
      </c>
      <c r="CX18" t="s">
        <v>194</v>
      </c>
      <c r="CY18" t="s">
        <v>194</v>
      </c>
      <c r="CZ18" t="s">
        <v>194</v>
      </c>
    </row>
    <row r="19" spans="2:104" x14ac:dyDescent="0.2">
      <c r="C19" t="s">
        <v>180</v>
      </c>
      <c r="D19" s="177">
        <v>0</v>
      </c>
      <c r="E19" s="180">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0</v>
      </c>
      <c r="CF19">
        <v>0</v>
      </c>
      <c r="CG19">
        <v>0</v>
      </c>
      <c r="CH19">
        <v>0</v>
      </c>
      <c r="CI19">
        <v>0</v>
      </c>
      <c r="CJ19">
        <v>0</v>
      </c>
      <c r="CK19">
        <v>0</v>
      </c>
      <c r="CL19">
        <v>0</v>
      </c>
      <c r="CM19">
        <v>0</v>
      </c>
      <c r="CN19">
        <v>0</v>
      </c>
      <c r="CO19">
        <v>0</v>
      </c>
      <c r="CP19">
        <v>0</v>
      </c>
      <c r="CQ19">
        <v>0</v>
      </c>
      <c r="CR19">
        <v>0</v>
      </c>
      <c r="CS19">
        <v>0</v>
      </c>
      <c r="CT19">
        <v>0</v>
      </c>
      <c r="CU19">
        <v>0</v>
      </c>
      <c r="CV19">
        <v>0</v>
      </c>
      <c r="CW19">
        <v>0</v>
      </c>
      <c r="CX19">
        <v>0</v>
      </c>
      <c r="CY19">
        <v>0</v>
      </c>
      <c r="CZ19">
        <v>0</v>
      </c>
    </row>
    <row r="20" spans="2:104" x14ac:dyDescent="0.2">
      <c r="C20" t="s">
        <v>181</v>
      </c>
      <c r="D20" s="177">
        <v>0</v>
      </c>
      <c r="E20" s="181">
        <v>0</v>
      </c>
      <c r="F20" s="177">
        <v>0</v>
      </c>
      <c r="G20" s="177">
        <v>0</v>
      </c>
      <c r="H20" s="177">
        <v>0</v>
      </c>
      <c r="I20" s="177">
        <v>0</v>
      </c>
      <c r="J20" s="177">
        <v>0</v>
      </c>
      <c r="K20" s="177">
        <v>0</v>
      </c>
      <c r="L20" s="177">
        <v>0</v>
      </c>
      <c r="M20" s="177">
        <v>0</v>
      </c>
      <c r="N20" s="177">
        <v>0</v>
      </c>
      <c r="O20" s="177">
        <v>0</v>
      </c>
      <c r="P20" s="177">
        <v>0</v>
      </c>
      <c r="Q20" s="177">
        <v>0</v>
      </c>
      <c r="R20" s="177">
        <v>0</v>
      </c>
      <c r="S20" s="177">
        <v>0</v>
      </c>
      <c r="T20" s="177">
        <v>0</v>
      </c>
      <c r="U20" s="177">
        <v>0</v>
      </c>
      <c r="V20" s="177">
        <v>0</v>
      </c>
      <c r="W20" s="177">
        <v>0</v>
      </c>
      <c r="X20" s="177">
        <v>0</v>
      </c>
      <c r="Y20" s="177">
        <v>0</v>
      </c>
      <c r="Z20" s="177">
        <v>0</v>
      </c>
      <c r="AA20" s="177">
        <v>0</v>
      </c>
      <c r="AB20" s="177">
        <v>0</v>
      </c>
      <c r="AC20" s="177">
        <v>0</v>
      </c>
      <c r="AD20" s="177">
        <v>0</v>
      </c>
      <c r="AE20" s="177">
        <v>0</v>
      </c>
      <c r="AF20" s="177">
        <v>0</v>
      </c>
      <c r="AG20" s="177">
        <v>0</v>
      </c>
      <c r="AH20" s="177">
        <v>0</v>
      </c>
      <c r="AI20" s="177">
        <v>0</v>
      </c>
      <c r="AJ20" s="177">
        <v>0</v>
      </c>
      <c r="AK20" s="177">
        <v>0</v>
      </c>
      <c r="AL20" s="177">
        <v>0</v>
      </c>
      <c r="AM20" s="177">
        <v>0</v>
      </c>
      <c r="AN20" s="177">
        <v>0</v>
      </c>
      <c r="AO20" s="177">
        <v>0</v>
      </c>
      <c r="AP20" s="177">
        <v>0</v>
      </c>
      <c r="AQ20" s="177">
        <v>0</v>
      </c>
      <c r="AR20" s="177">
        <v>0</v>
      </c>
      <c r="AS20" s="177">
        <v>0</v>
      </c>
      <c r="AT20" s="177">
        <v>0</v>
      </c>
      <c r="AU20" s="177">
        <v>0</v>
      </c>
      <c r="AV20" s="177">
        <v>0</v>
      </c>
      <c r="AW20" s="177">
        <v>0</v>
      </c>
      <c r="AX20" s="177">
        <v>0</v>
      </c>
      <c r="AY20" s="177">
        <v>0</v>
      </c>
      <c r="AZ20" s="177">
        <v>0</v>
      </c>
      <c r="BA20" s="177">
        <v>0</v>
      </c>
      <c r="BB20" s="177">
        <v>0</v>
      </c>
      <c r="BC20" s="177">
        <v>0</v>
      </c>
      <c r="BD20" s="177">
        <v>0</v>
      </c>
      <c r="BE20" s="177">
        <v>0</v>
      </c>
      <c r="BF20" s="177">
        <v>0</v>
      </c>
      <c r="BG20" s="177">
        <v>0</v>
      </c>
      <c r="BH20" s="177">
        <v>0</v>
      </c>
      <c r="BI20" s="177">
        <v>0</v>
      </c>
      <c r="BJ20" s="177">
        <v>0</v>
      </c>
      <c r="BK20" s="177">
        <v>0</v>
      </c>
      <c r="BL20" s="177">
        <v>0</v>
      </c>
      <c r="BM20" s="177">
        <v>0</v>
      </c>
      <c r="BN20" s="177">
        <v>0</v>
      </c>
      <c r="BO20" s="177">
        <v>0</v>
      </c>
      <c r="BP20" s="177">
        <v>0</v>
      </c>
      <c r="BQ20" s="177">
        <v>0</v>
      </c>
      <c r="BR20" s="177">
        <v>0</v>
      </c>
      <c r="BS20" s="177">
        <v>0</v>
      </c>
      <c r="BT20" s="177">
        <v>0</v>
      </c>
      <c r="BU20" s="177">
        <v>0</v>
      </c>
      <c r="BV20" s="177">
        <v>0</v>
      </c>
      <c r="BW20" s="177">
        <v>0</v>
      </c>
      <c r="BX20" s="177">
        <v>0</v>
      </c>
      <c r="BY20" s="177">
        <v>0</v>
      </c>
      <c r="BZ20" s="177">
        <v>0</v>
      </c>
      <c r="CA20" s="177">
        <v>0</v>
      </c>
      <c r="CB20" s="177">
        <v>0</v>
      </c>
      <c r="CC20" s="177">
        <v>0</v>
      </c>
      <c r="CD20" s="177">
        <v>0</v>
      </c>
      <c r="CE20" s="177">
        <v>0</v>
      </c>
      <c r="CF20" s="177">
        <v>0</v>
      </c>
      <c r="CG20" s="177">
        <v>0</v>
      </c>
      <c r="CH20" s="177">
        <v>0</v>
      </c>
      <c r="CI20" s="177">
        <v>0</v>
      </c>
      <c r="CJ20" s="177">
        <v>0</v>
      </c>
      <c r="CK20" s="177">
        <v>0</v>
      </c>
      <c r="CL20" s="177">
        <v>0</v>
      </c>
      <c r="CM20" s="177">
        <v>0</v>
      </c>
      <c r="CN20" s="177">
        <v>0</v>
      </c>
      <c r="CO20" s="177">
        <v>0</v>
      </c>
      <c r="CP20" s="177">
        <v>0</v>
      </c>
      <c r="CQ20" s="177">
        <v>0</v>
      </c>
      <c r="CR20" s="177">
        <v>0</v>
      </c>
      <c r="CS20" s="177">
        <v>0</v>
      </c>
      <c r="CT20" s="177">
        <v>0</v>
      </c>
      <c r="CU20" s="177">
        <v>0</v>
      </c>
      <c r="CV20" s="177">
        <v>0</v>
      </c>
      <c r="CW20" s="177">
        <v>0</v>
      </c>
      <c r="CX20" s="177">
        <v>0</v>
      </c>
      <c r="CY20" s="177">
        <v>0</v>
      </c>
      <c r="CZ20" s="177">
        <v>0</v>
      </c>
    </row>
    <row r="21" spans="2:104" x14ac:dyDescent="0.2">
      <c r="C21" t="s">
        <v>182</v>
      </c>
      <c r="D21" s="177">
        <v>0</v>
      </c>
      <c r="E21" s="181">
        <v>0</v>
      </c>
      <c r="F21" s="177">
        <v>0</v>
      </c>
      <c r="G21" s="177">
        <v>0</v>
      </c>
      <c r="H21" s="177">
        <v>0</v>
      </c>
      <c r="I21" s="177">
        <v>0</v>
      </c>
      <c r="J21" s="177">
        <v>0</v>
      </c>
      <c r="K21" s="177">
        <v>0</v>
      </c>
      <c r="L21" s="177">
        <v>0</v>
      </c>
      <c r="M21" s="177">
        <v>0</v>
      </c>
      <c r="N21" s="177">
        <v>0</v>
      </c>
      <c r="O21" s="177">
        <v>0</v>
      </c>
      <c r="P21" s="177">
        <v>0</v>
      </c>
      <c r="Q21" s="177">
        <v>0</v>
      </c>
      <c r="R21" s="177">
        <v>0</v>
      </c>
      <c r="S21" s="177">
        <v>0</v>
      </c>
      <c r="T21" s="177">
        <v>0</v>
      </c>
      <c r="U21" s="177">
        <v>0</v>
      </c>
      <c r="V21" s="177">
        <v>0</v>
      </c>
      <c r="W21" s="177">
        <v>0</v>
      </c>
      <c r="X21" s="177">
        <v>0</v>
      </c>
      <c r="Y21" s="177">
        <v>0</v>
      </c>
      <c r="Z21" s="177">
        <v>0</v>
      </c>
      <c r="AA21" s="177">
        <v>0</v>
      </c>
      <c r="AB21" s="177">
        <v>0</v>
      </c>
      <c r="AC21" s="177">
        <v>0</v>
      </c>
      <c r="AD21" s="177">
        <v>0</v>
      </c>
      <c r="AE21" s="177">
        <v>0</v>
      </c>
      <c r="AF21" s="177">
        <v>0</v>
      </c>
      <c r="AG21" s="177">
        <v>0</v>
      </c>
      <c r="AH21" s="177">
        <v>0</v>
      </c>
      <c r="AI21" s="177">
        <v>0</v>
      </c>
      <c r="AJ21" s="177">
        <v>0</v>
      </c>
      <c r="AK21" s="177">
        <v>0</v>
      </c>
      <c r="AL21" s="177">
        <v>0</v>
      </c>
      <c r="AM21" s="177">
        <v>0</v>
      </c>
      <c r="AN21" s="177">
        <v>0</v>
      </c>
      <c r="AO21" s="177">
        <v>0</v>
      </c>
      <c r="AP21" s="177">
        <v>0</v>
      </c>
      <c r="AQ21" s="177">
        <v>0</v>
      </c>
      <c r="AR21" s="177">
        <v>0</v>
      </c>
      <c r="AS21" s="177">
        <v>0</v>
      </c>
      <c r="AT21" s="177">
        <v>0</v>
      </c>
      <c r="AU21" s="177">
        <v>0</v>
      </c>
      <c r="AV21" s="177">
        <v>0</v>
      </c>
      <c r="AW21" s="177">
        <v>0</v>
      </c>
      <c r="AX21" s="177">
        <v>0</v>
      </c>
      <c r="AY21" s="177">
        <v>0</v>
      </c>
      <c r="AZ21" s="177">
        <v>0</v>
      </c>
      <c r="BA21" s="177">
        <v>0</v>
      </c>
      <c r="BB21" s="177">
        <v>0</v>
      </c>
      <c r="BC21" s="177">
        <v>0</v>
      </c>
      <c r="BD21" s="177">
        <v>0</v>
      </c>
      <c r="BE21" s="177">
        <v>0</v>
      </c>
      <c r="BF21" s="177">
        <v>0</v>
      </c>
      <c r="BG21" s="177">
        <v>0</v>
      </c>
      <c r="BH21" s="177">
        <v>0</v>
      </c>
      <c r="BI21" s="177">
        <v>0</v>
      </c>
      <c r="BJ21" s="177">
        <v>0</v>
      </c>
      <c r="BK21" s="177">
        <v>0</v>
      </c>
      <c r="BL21" s="177">
        <v>0</v>
      </c>
      <c r="BM21" s="177">
        <v>0</v>
      </c>
      <c r="BN21" s="177">
        <v>0</v>
      </c>
      <c r="BO21" s="177">
        <v>0</v>
      </c>
      <c r="BP21" s="177">
        <v>0</v>
      </c>
      <c r="BQ21" s="177">
        <v>0</v>
      </c>
      <c r="BR21" s="177">
        <v>0</v>
      </c>
      <c r="BS21" s="177">
        <v>0</v>
      </c>
      <c r="BT21" s="177">
        <v>0</v>
      </c>
      <c r="BU21" s="177">
        <v>0</v>
      </c>
      <c r="BV21" s="177">
        <v>0</v>
      </c>
      <c r="BW21" s="177">
        <v>0</v>
      </c>
      <c r="BX21" s="177">
        <v>0</v>
      </c>
      <c r="BY21" s="177">
        <v>0</v>
      </c>
      <c r="BZ21" s="177">
        <v>0</v>
      </c>
      <c r="CA21" s="177">
        <v>0</v>
      </c>
      <c r="CB21" s="177">
        <v>0</v>
      </c>
      <c r="CC21" s="177">
        <v>0</v>
      </c>
      <c r="CD21" s="177">
        <v>0</v>
      </c>
      <c r="CE21" s="177">
        <v>0</v>
      </c>
      <c r="CF21" s="177">
        <v>0</v>
      </c>
      <c r="CG21" s="177">
        <v>0</v>
      </c>
      <c r="CH21" s="177">
        <v>0</v>
      </c>
      <c r="CI21" s="177">
        <v>0</v>
      </c>
      <c r="CJ21" s="177">
        <v>0</v>
      </c>
      <c r="CK21" s="177">
        <v>0</v>
      </c>
      <c r="CL21" s="177">
        <v>0</v>
      </c>
      <c r="CM21" s="177">
        <v>0</v>
      </c>
      <c r="CN21" s="177">
        <v>0</v>
      </c>
      <c r="CO21" s="177">
        <v>0</v>
      </c>
      <c r="CP21" s="177">
        <v>0</v>
      </c>
      <c r="CQ21" s="177">
        <v>0</v>
      </c>
      <c r="CR21" s="177">
        <v>0</v>
      </c>
      <c r="CS21" s="177">
        <v>0</v>
      </c>
      <c r="CT21" s="177">
        <v>0</v>
      </c>
      <c r="CU21" s="177">
        <v>0</v>
      </c>
      <c r="CV21" s="177">
        <v>0</v>
      </c>
      <c r="CW21" s="177">
        <v>0</v>
      </c>
      <c r="CX21" s="177">
        <v>0</v>
      </c>
      <c r="CY21" s="177">
        <v>0</v>
      </c>
      <c r="CZ21" s="177">
        <v>0</v>
      </c>
    </row>
    <row r="22" spans="2:104" x14ac:dyDescent="0.2">
      <c r="C22" t="s">
        <v>183</v>
      </c>
      <c r="D22" s="177">
        <v>112.63</v>
      </c>
      <c r="E22" s="180">
        <v>117</v>
      </c>
      <c r="F22">
        <v>111</v>
      </c>
      <c r="G22">
        <v>120</v>
      </c>
      <c r="H22">
        <v>115</v>
      </c>
      <c r="I22">
        <v>113</v>
      </c>
      <c r="J22">
        <v>108</v>
      </c>
      <c r="K22">
        <v>109</v>
      </c>
      <c r="L22">
        <v>112</v>
      </c>
      <c r="M22">
        <v>119</v>
      </c>
      <c r="N22">
        <v>115</v>
      </c>
      <c r="O22">
        <v>114</v>
      </c>
      <c r="P22">
        <v>117</v>
      </c>
      <c r="Q22">
        <v>110</v>
      </c>
      <c r="R22">
        <v>111</v>
      </c>
      <c r="S22">
        <v>108</v>
      </c>
      <c r="T22">
        <v>115</v>
      </c>
      <c r="U22">
        <v>113</v>
      </c>
      <c r="V22">
        <v>116</v>
      </c>
      <c r="W22">
        <v>117</v>
      </c>
      <c r="X22">
        <v>117</v>
      </c>
      <c r="Y22">
        <v>109</v>
      </c>
      <c r="Z22">
        <v>116</v>
      </c>
      <c r="AA22">
        <v>118</v>
      </c>
      <c r="AB22">
        <v>117</v>
      </c>
      <c r="AC22">
        <v>117</v>
      </c>
      <c r="AD22">
        <v>110</v>
      </c>
      <c r="AE22">
        <v>118</v>
      </c>
      <c r="AF22">
        <v>120</v>
      </c>
      <c r="AG22">
        <v>111</v>
      </c>
      <c r="AH22">
        <v>108</v>
      </c>
      <c r="AI22">
        <v>116</v>
      </c>
      <c r="AJ22">
        <v>111</v>
      </c>
      <c r="AK22">
        <v>113</v>
      </c>
      <c r="AL22">
        <v>115</v>
      </c>
      <c r="AM22">
        <v>118</v>
      </c>
      <c r="AN22">
        <v>115</v>
      </c>
      <c r="AO22">
        <v>118</v>
      </c>
      <c r="AP22">
        <v>115</v>
      </c>
      <c r="AQ22">
        <v>113</v>
      </c>
      <c r="AR22">
        <v>120</v>
      </c>
      <c r="AS22">
        <v>98</v>
      </c>
      <c r="AT22">
        <v>105</v>
      </c>
      <c r="AU22">
        <v>119</v>
      </c>
      <c r="AV22">
        <v>112</v>
      </c>
      <c r="AW22">
        <v>120</v>
      </c>
      <c r="AX22">
        <v>105</v>
      </c>
      <c r="AY22">
        <v>116</v>
      </c>
      <c r="AZ22">
        <v>101</v>
      </c>
      <c r="BA22">
        <v>115</v>
      </c>
      <c r="BB22">
        <v>111</v>
      </c>
      <c r="BC22">
        <v>88</v>
      </c>
      <c r="BD22">
        <v>112</v>
      </c>
      <c r="BE22">
        <v>116</v>
      </c>
      <c r="BF22">
        <v>113</v>
      </c>
      <c r="BG22">
        <v>113</v>
      </c>
      <c r="BH22">
        <v>117</v>
      </c>
      <c r="BI22">
        <v>119</v>
      </c>
      <c r="BJ22">
        <v>113</v>
      </c>
      <c r="BK22">
        <v>119</v>
      </c>
      <c r="BL22">
        <v>114</v>
      </c>
      <c r="BM22">
        <v>106</v>
      </c>
      <c r="BN22">
        <v>107</v>
      </c>
      <c r="BO22">
        <v>101</v>
      </c>
      <c r="BP22">
        <v>105</v>
      </c>
      <c r="BQ22">
        <v>106</v>
      </c>
      <c r="BR22">
        <v>106</v>
      </c>
      <c r="BS22">
        <v>112</v>
      </c>
      <c r="BT22">
        <v>115</v>
      </c>
      <c r="BU22">
        <v>116</v>
      </c>
      <c r="BV22">
        <v>115</v>
      </c>
      <c r="BW22">
        <v>109</v>
      </c>
      <c r="BX22">
        <v>119</v>
      </c>
      <c r="BY22">
        <v>111</v>
      </c>
      <c r="BZ22">
        <v>110</v>
      </c>
      <c r="CA22">
        <v>114</v>
      </c>
      <c r="CB22">
        <v>118</v>
      </c>
      <c r="CC22">
        <v>109</v>
      </c>
      <c r="CD22">
        <v>116</v>
      </c>
      <c r="CE22">
        <v>117</v>
      </c>
      <c r="CF22">
        <v>114</v>
      </c>
      <c r="CG22">
        <v>115</v>
      </c>
      <c r="CH22">
        <v>113</v>
      </c>
      <c r="CI22">
        <v>118</v>
      </c>
      <c r="CJ22">
        <v>118</v>
      </c>
      <c r="CK22">
        <v>105</v>
      </c>
      <c r="CL22">
        <v>105</v>
      </c>
      <c r="CM22">
        <v>111</v>
      </c>
      <c r="CN22">
        <v>108</v>
      </c>
      <c r="CO22">
        <v>108</v>
      </c>
      <c r="CP22">
        <v>113</v>
      </c>
      <c r="CQ22">
        <v>116</v>
      </c>
      <c r="CR22">
        <v>100</v>
      </c>
      <c r="CS22">
        <v>115</v>
      </c>
      <c r="CT22">
        <v>117</v>
      </c>
      <c r="CU22">
        <v>115</v>
      </c>
      <c r="CV22">
        <v>117</v>
      </c>
      <c r="CW22">
        <v>118</v>
      </c>
      <c r="CX22">
        <v>92</v>
      </c>
      <c r="CY22">
        <v>115</v>
      </c>
      <c r="CZ22">
        <v>117</v>
      </c>
    </row>
    <row r="23" spans="2:104" x14ac:dyDescent="0.2">
      <c r="C23" t="s">
        <v>184</v>
      </c>
      <c r="D23" s="177">
        <v>0.93543088604834024</v>
      </c>
      <c r="E23" s="181">
        <v>0.97496918467140248</v>
      </c>
      <c r="F23" s="177">
        <v>0.92845200310813281</v>
      </c>
      <c r="G23" s="177">
        <v>0.98459849709042424</v>
      </c>
      <c r="H23" s="177">
        <v>0.94884062561826121</v>
      </c>
      <c r="I23" s="177">
        <v>0.93738898652077818</v>
      </c>
      <c r="J23" s="177">
        <v>0.8964593232385426</v>
      </c>
      <c r="K23" s="177">
        <v>0.89399347269966378</v>
      </c>
      <c r="L23" s="177">
        <v>0.93328617778043677</v>
      </c>
      <c r="M23" s="177">
        <v>0.97673999900707975</v>
      </c>
      <c r="N23" s="177">
        <v>0.9509191498987718</v>
      </c>
      <c r="O23" s="177">
        <v>0.94131767501879271</v>
      </c>
      <c r="P23" s="177">
        <v>0.9700716732523198</v>
      </c>
      <c r="Q23" s="177">
        <v>0.91775066568938446</v>
      </c>
      <c r="R23" s="177">
        <v>0.9077452082657852</v>
      </c>
      <c r="S23" s="177">
        <v>0.89841732645297767</v>
      </c>
      <c r="T23" s="177">
        <v>0.94295930509365478</v>
      </c>
      <c r="U23" s="177">
        <v>0.93979785447967246</v>
      </c>
      <c r="V23" s="177">
        <v>0.94849151428618439</v>
      </c>
      <c r="W23" s="177">
        <v>0.98872832382119724</v>
      </c>
      <c r="X23" s="177">
        <v>0.98811626476320291</v>
      </c>
      <c r="Y23" s="177">
        <v>0.90792414466401306</v>
      </c>
      <c r="Z23" s="177">
        <v>0.96469718112865421</v>
      </c>
      <c r="AA23" s="177">
        <v>0.98898971424933824</v>
      </c>
      <c r="AB23" s="177">
        <v>0.96941327125666499</v>
      </c>
      <c r="AC23" s="177">
        <v>0.96875725728731921</v>
      </c>
      <c r="AD23" s="177">
        <v>0.91262255221986288</v>
      </c>
      <c r="AE23" s="177">
        <v>0.97986806753014166</v>
      </c>
      <c r="AF23" s="177">
        <v>0.98615073198981829</v>
      </c>
      <c r="AG23" s="177">
        <v>0.90820504634782229</v>
      </c>
      <c r="AH23" s="177">
        <v>0.89190704849737401</v>
      </c>
      <c r="AI23" s="177">
        <v>0.95404571673196992</v>
      </c>
      <c r="AJ23" s="177">
        <v>0.92680958866758079</v>
      </c>
      <c r="AK23" s="177">
        <v>0.94535074392447505</v>
      </c>
      <c r="AL23" s="177">
        <v>0.95937766542768421</v>
      </c>
      <c r="AM23" s="177">
        <v>0.96617410846165475</v>
      </c>
      <c r="AN23" s="177">
        <v>0.96359847808006582</v>
      </c>
      <c r="AO23" s="177">
        <v>0.97697593432462759</v>
      </c>
      <c r="AP23" s="177">
        <v>0.95027607361494992</v>
      </c>
      <c r="AQ23" s="177">
        <v>0.93123862382396116</v>
      </c>
      <c r="AR23" s="177">
        <v>0.99382256586634721</v>
      </c>
      <c r="AS23" s="177">
        <v>0.80776657327760104</v>
      </c>
      <c r="AT23" s="177">
        <v>0.87787227273827029</v>
      </c>
      <c r="AU23" s="177">
        <v>0.99613949443750982</v>
      </c>
      <c r="AV23" s="177">
        <v>0.91616692000843614</v>
      </c>
      <c r="AW23" s="177">
        <v>0.99568303779027834</v>
      </c>
      <c r="AX23" s="177">
        <v>0.88406882754606753</v>
      </c>
      <c r="AY23" s="177">
        <v>0.968514708619439</v>
      </c>
      <c r="AZ23" s="177">
        <v>0.85327965579300769</v>
      </c>
      <c r="BA23" s="177">
        <v>0.95157698158650106</v>
      </c>
      <c r="BB23" s="177">
        <v>0.91288931408039009</v>
      </c>
      <c r="BC23" s="177">
        <v>0.7256099719527016</v>
      </c>
      <c r="BD23" s="177">
        <v>0.91997353830731465</v>
      </c>
      <c r="BE23" s="177">
        <v>0.95391304080991646</v>
      </c>
      <c r="BF23" s="177">
        <v>0.952642282413251</v>
      </c>
      <c r="BG23" s="177">
        <v>0.94451084123829121</v>
      </c>
      <c r="BH23" s="177">
        <v>0.98310457608064872</v>
      </c>
      <c r="BI23" s="177">
        <v>0.98708032456536854</v>
      </c>
      <c r="BJ23" s="177">
        <v>0.93244889018588895</v>
      </c>
      <c r="BK23" s="177">
        <v>0.98736579227528509</v>
      </c>
      <c r="BL23" s="177">
        <v>0.97008147874162609</v>
      </c>
      <c r="BM23" s="177">
        <v>0.87079405219596495</v>
      </c>
      <c r="BN23" s="177">
        <v>0.90484702635841219</v>
      </c>
      <c r="BO23" s="177">
        <v>0.84227673437049289</v>
      </c>
      <c r="BP23" s="177">
        <v>0.87615554633752724</v>
      </c>
      <c r="BQ23" s="177">
        <v>0.87095308351255518</v>
      </c>
      <c r="BR23" s="177">
        <v>0.88617633902831949</v>
      </c>
      <c r="BS23" s="177">
        <v>0.92630919827711344</v>
      </c>
      <c r="BT23" s="177">
        <v>0.95271194978380858</v>
      </c>
      <c r="BU23" s="177">
        <v>0.97524722852825718</v>
      </c>
      <c r="BV23" s="177">
        <v>0.96841744641320493</v>
      </c>
      <c r="BW23" s="177">
        <v>0.90703962698960994</v>
      </c>
      <c r="BX23" s="177">
        <v>0.9954536399242403</v>
      </c>
      <c r="BY23" s="177">
        <v>0.90586655230675694</v>
      </c>
      <c r="BZ23" s="177">
        <v>0.91226618600737952</v>
      </c>
      <c r="CA23" s="177">
        <v>0.9471896875799839</v>
      </c>
      <c r="CB23" s="177">
        <v>0.98531274025374493</v>
      </c>
      <c r="CC23" s="177">
        <v>0.91321592056591328</v>
      </c>
      <c r="CD23" s="177">
        <v>0.96285846055708224</v>
      </c>
      <c r="CE23" s="177">
        <v>0.95804589653719796</v>
      </c>
      <c r="CF23" s="177">
        <v>0.95462909939220497</v>
      </c>
      <c r="CG23" s="177">
        <v>0.96060988226286392</v>
      </c>
      <c r="CH23" s="177">
        <v>0.93528818201466302</v>
      </c>
      <c r="CI23" s="177">
        <v>0.98505731899936089</v>
      </c>
      <c r="CJ23" s="177">
        <v>0.98414028277016663</v>
      </c>
      <c r="CK23" s="177">
        <v>0.87645329695847574</v>
      </c>
      <c r="CL23" s="177">
        <v>0.85966498623126741</v>
      </c>
      <c r="CM23" s="177">
        <v>0.93513191369547144</v>
      </c>
      <c r="CN23" s="177">
        <v>0.8949796507081913</v>
      </c>
      <c r="CO23" s="177">
        <v>0.90485105365834184</v>
      </c>
      <c r="CP23" s="177">
        <v>0.94044849969342681</v>
      </c>
      <c r="CQ23" s="177">
        <v>0.95930420837870822</v>
      </c>
      <c r="CR23" s="177">
        <v>0.83020847178907409</v>
      </c>
      <c r="CS23" s="177">
        <v>0.95305437111653679</v>
      </c>
      <c r="CT23" s="177">
        <v>0.95299711906393958</v>
      </c>
      <c r="CU23" s="177">
        <v>0.94917699305899916</v>
      </c>
      <c r="CV23" s="177">
        <v>0.98063559679821133</v>
      </c>
      <c r="CW23" s="177">
        <v>0.98550226055895962</v>
      </c>
      <c r="CX23" s="177">
        <v>0.77573167405102161</v>
      </c>
      <c r="CY23" s="177">
        <v>0.96495992724384316</v>
      </c>
      <c r="CZ23" s="177">
        <v>0.96319023356394495</v>
      </c>
    </row>
    <row r="24" spans="2:104" x14ac:dyDescent="0.2">
      <c r="C24" t="s">
        <v>185</v>
      </c>
      <c r="D24" s="177">
        <v>0</v>
      </c>
      <c r="E24" s="181">
        <v>0</v>
      </c>
      <c r="F24" s="177">
        <v>0</v>
      </c>
      <c r="G24" s="177">
        <v>0</v>
      </c>
      <c r="H24" s="177">
        <v>0</v>
      </c>
      <c r="I24" s="177">
        <v>0</v>
      </c>
      <c r="J24" s="177">
        <v>0</v>
      </c>
      <c r="K24" s="177">
        <v>0</v>
      </c>
      <c r="L24" s="177">
        <v>0</v>
      </c>
      <c r="M24" s="177">
        <v>0</v>
      </c>
      <c r="N24" s="177">
        <v>0</v>
      </c>
      <c r="O24" s="177">
        <v>0</v>
      </c>
      <c r="P24" s="177">
        <v>0</v>
      </c>
      <c r="Q24" s="177">
        <v>0</v>
      </c>
      <c r="R24" s="177">
        <v>0</v>
      </c>
      <c r="S24" s="177">
        <v>0</v>
      </c>
      <c r="T24" s="177">
        <v>0</v>
      </c>
      <c r="U24" s="177">
        <v>0</v>
      </c>
      <c r="V24" s="177">
        <v>0</v>
      </c>
      <c r="W24" s="177">
        <v>0</v>
      </c>
      <c r="X24" s="177">
        <v>0</v>
      </c>
      <c r="Y24" s="177">
        <v>0</v>
      </c>
      <c r="Z24" s="177">
        <v>0</v>
      </c>
      <c r="AA24" s="177">
        <v>0</v>
      </c>
      <c r="AB24" s="177">
        <v>0</v>
      </c>
      <c r="AC24" s="177">
        <v>0</v>
      </c>
      <c r="AD24" s="177">
        <v>0</v>
      </c>
      <c r="AE24" s="177">
        <v>0</v>
      </c>
      <c r="AF24" s="177">
        <v>0</v>
      </c>
      <c r="AG24" s="177">
        <v>0</v>
      </c>
      <c r="AH24" s="177">
        <v>0</v>
      </c>
      <c r="AI24" s="177">
        <v>0</v>
      </c>
      <c r="AJ24" s="177">
        <v>0</v>
      </c>
      <c r="AK24" s="177">
        <v>0</v>
      </c>
      <c r="AL24" s="177">
        <v>0</v>
      </c>
      <c r="AM24" s="177">
        <v>0</v>
      </c>
      <c r="AN24" s="177">
        <v>0</v>
      </c>
      <c r="AO24" s="177">
        <v>0</v>
      </c>
      <c r="AP24" s="177">
        <v>0</v>
      </c>
      <c r="AQ24" s="177">
        <v>0</v>
      </c>
      <c r="AR24" s="177">
        <v>0</v>
      </c>
      <c r="AS24" s="177">
        <v>0</v>
      </c>
      <c r="AT24" s="177">
        <v>0</v>
      </c>
      <c r="AU24" s="177">
        <v>0</v>
      </c>
      <c r="AV24" s="177">
        <v>0</v>
      </c>
      <c r="AW24" s="177">
        <v>0</v>
      </c>
      <c r="AX24" s="177">
        <v>0</v>
      </c>
      <c r="AY24" s="177">
        <v>0</v>
      </c>
      <c r="AZ24" s="177">
        <v>0</v>
      </c>
      <c r="BA24" s="177">
        <v>0</v>
      </c>
      <c r="BB24" s="177">
        <v>0</v>
      </c>
      <c r="BC24" s="177">
        <v>0</v>
      </c>
      <c r="BD24" s="177">
        <v>0</v>
      </c>
      <c r="BE24" s="177">
        <v>0</v>
      </c>
      <c r="BF24" s="177">
        <v>0</v>
      </c>
      <c r="BG24" s="177">
        <v>0</v>
      </c>
      <c r="BH24" s="177">
        <v>0</v>
      </c>
      <c r="BI24" s="177">
        <v>0</v>
      </c>
      <c r="BJ24" s="177">
        <v>0</v>
      </c>
      <c r="BK24" s="177">
        <v>0</v>
      </c>
      <c r="BL24" s="177">
        <v>0</v>
      </c>
      <c r="BM24" s="177">
        <v>0</v>
      </c>
      <c r="BN24" s="177">
        <v>0</v>
      </c>
      <c r="BO24" s="177">
        <v>0</v>
      </c>
      <c r="BP24" s="177">
        <v>0</v>
      </c>
      <c r="BQ24" s="177">
        <v>0</v>
      </c>
      <c r="BR24" s="177">
        <v>0</v>
      </c>
      <c r="BS24" s="177">
        <v>0</v>
      </c>
      <c r="BT24" s="177">
        <v>0</v>
      </c>
      <c r="BU24" s="177">
        <v>0</v>
      </c>
      <c r="BV24" s="177">
        <v>0</v>
      </c>
      <c r="BW24" s="177">
        <v>0</v>
      </c>
      <c r="BX24" s="177">
        <v>0</v>
      </c>
      <c r="BY24" s="177">
        <v>0</v>
      </c>
      <c r="BZ24" s="177">
        <v>0</v>
      </c>
      <c r="CA24" s="177">
        <v>0</v>
      </c>
      <c r="CB24" s="177">
        <v>0</v>
      </c>
      <c r="CC24" s="177">
        <v>0</v>
      </c>
      <c r="CD24" s="177">
        <v>0</v>
      </c>
      <c r="CE24" s="177">
        <v>0</v>
      </c>
      <c r="CF24" s="177">
        <v>0</v>
      </c>
      <c r="CG24" s="177">
        <v>0</v>
      </c>
      <c r="CH24" s="177">
        <v>0</v>
      </c>
      <c r="CI24" s="177">
        <v>0</v>
      </c>
      <c r="CJ24" s="177">
        <v>0</v>
      </c>
      <c r="CK24" s="177">
        <v>0</v>
      </c>
      <c r="CL24" s="177">
        <v>0</v>
      </c>
      <c r="CM24" s="177">
        <v>0</v>
      </c>
      <c r="CN24" s="177">
        <v>0</v>
      </c>
      <c r="CO24" s="177">
        <v>0</v>
      </c>
      <c r="CP24" s="177">
        <v>0</v>
      </c>
      <c r="CQ24" s="177">
        <v>0</v>
      </c>
      <c r="CR24" s="177">
        <v>0</v>
      </c>
      <c r="CS24" s="177">
        <v>0</v>
      </c>
      <c r="CT24" s="177">
        <v>0</v>
      </c>
      <c r="CU24" s="177">
        <v>0</v>
      </c>
      <c r="CV24" s="177">
        <v>0</v>
      </c>
      <c r="CW24" s="177">
        <v>0</v>
      </c>
      <c r="CX24" s="177">
        <v>0</v>
      </c>
      <c r="CY24" s="177">
        <v>0</v>
      </c>
      <c r="CZ24" s="177">
        <v>0</v>
      </c>
    </row>
    <row r="25" spans="2:104" x14ac:dyDescent="0.2">
      <c r="E25" s="180"/>
    </row>
    <row r="26" spans="2:104" x14ac:dyDescent="0.2">
      <c r="B26" t="s">
        <v>167</v>
      </c>
      <c r="C26" t="s">
        <v>179</v>
      </c>
      <c r="D26" s="185" t="s">
        <v>197</v>
      </c>
      <c r="E26" s="180" t="s">
        <v>194</v>
      </c>
      <c r="F26" t="s">
        <v>194</v>
      </c>
      <c r="G26" t="s">
        <v>196</v>
      </c>
      <c r="H26" t="s">
        <v>196</v>
      </c>
      <c r="I26" t="s">
        <v>194</v>
      </c>
      <c r="J26" t="s">
        <v>194</v>
      </c>
      <c r="K26" t="s">
        <v>196</v>
      </c>
      <c r="L26" t="s">
        <v>194</v>
      </c>
      <c r="M26" t="s">
        <v>194</v>
      </c>
      <c r="N26" t="s">
        <v>194</v>
      </c>
      <c r="O26" t="s">
        <v>196</v>
      </c>
      <c r="P26" t="s">
        <v>194</v>
      </c>
      <c r="Q26" t="s">
        <v>194</v>
      </c>
      <c r="R26" t="s">
        <v>194</v>
      </c>
      <c r="S26" t="s">
        <v>196</v>
      </c>
      <c r="T26" t="s">
        <v>194</v>
      </c>
      <c r="U26" t="s">
        <v>194</v>
      </c>
      <c r="V26" t="s">
        <v>196</v>
      </c>
      <c r="W26" t="s">
        <v>194</v>
      </c>
      <c r="X26" t="s">
        <v>194</v>
      </c>
      <c r="Y26" t="s">
        <v>194</v>
      </c>
      <c r="Z26" t="s">
        <v>194</v>
      </c>
      <c r="AA26" t="s">
        <v>194</v>
      </c>
      <c r="AB26" t="s">
        <v>196</v>
      </c>
      <c r="AC26" t="s">
        <v>194</v>
      </c>
      <c r="AD26" t="s">
        <v>196</v>
      </c>
      <c r="AE26" t="s">
        <v>194</v>
      </c>
      <c r="AF26" t="s">
        <v>194</v>
      </c>
      <c r="AG26" t="s">
        <v>196</v>
      </c>
      <c r="AH26" t="s">
        <v>194</v>
      </c>
      <c r="AI26" t="s">
        <v>194</v>
      </c>
      <c r="AJ26" t="s">
        <v>196</v>
      </c>
      <c r="AK26" t="s">
        <v>194</v>
      </c>
      <c r="AL26" t="s">
        <v>196</v>
      </c>
      <c r="AM26" t="s">
        <v>196</v>
      </c>
      <c r="AN26" t="s">
        <v>196</v>
      </c>
      <c r="AO26" t="s">
        <v>194</v>
      </c>
      <c r="AP26" t="s">
        <v>194</v>
      </c>
      <c r="AQ26" t="s">
        <v>194</v>
      </c>
      <c r="AR26" t="s">
        <v>194</v>
      </c>
      <c r="AS26" t="s">
        <v>196</v>
      </c>
      <c r="AT26" t="s">
        <v>194</v>
      </c>
      <c r="AU26" t="s">
        <v>194</v>
      </c>
      <c r="AV26" t="s">
        <v>194</v>
      </c>
      <c r="AW26" t="s">
        <v>194</v>
      </c>
      <c r="AX26" t="s">
        <v>194</v>
      </c>
      <c r="AY26" t="s">
        <v>194</v>
      </c>
      <c r="AZ26" t="s">
        <v>194</v>
      </c>
      <c r="BA26" t="s">
        <v>196</v>
      </c>
      <c r="BB26" t="s">
        <v>194</v>
      </c>
      <c r="BC26" t="s">
        <v>196</v>
      </c>
      <c r="BD26" t="s">
        <v>196</v>
      </c>
      <c r="BE26" t="s">
        <v>194</v>
      </c>
      <c r="BF26" t="s">
        <v>194</v>
      </c>
      <c r="BG26" t="s">
        <v>196</v>
      </c>
      <c r="BH26" t="s">
        <v>194</v>
      </c>
      <c r="BI26" t="s">
        <v>194</v>
      </c>
      <c r="BJ26" t="s">
        <v>194</v>
      </c>
      <c r="BK26" t="s">
        <v>194</v>
      </c>
      <c r="BL26" t="s">
        <v>194</v>
      </c>
      <c r="BM26" t="s">
        <v>194</v>
      </c>
      <c r="BN26" t="s">
        <v>194</v>
      </c>
      <c r="BO26" t="s">
        <v>196</v>
      </c>
      <c r="BP26" t="s">
        <v>194</v>
      </c>
      <c r="BQ26" t="s">
        <v>194</v>
      </c>
      <c r="BR26" t="s">
        <v>194</v>
      </c>
      <c r="BS26" t="s">
        <v>194</v>
      </c>
      <c r="BT26" t="s">
        <v>194</v>
      </c>
      <c r="BU26" t="s">
        <v>194</v>
      </c>
      <c r="BV26" t="s">
        <v>196</v>
      </c>
      <c r="BW26" t="s">
        <v>196</v>
      </c>
      <c r="BX26" t="s">
        <v>196</v>
      </c>
      <c r="BY26" t="s">
        <v>194</v>
      </c>
      <c r="BZ26" t="s">
        <v>194</v>
      </c>
      <c r="CA26" t="s">
        <v>196</v>
      </c>
      <c r="CB26" t="s">
        <v>196</v>
      </c>
      <c r="CC26" t="s">
        <v>194</v>
      </c>
      <c r="CD26" t="s">
        <v>196</v>
      </c>
      <c r="CE26" t="s">
        <v>194</v>
      </c>
      <c r="CF26" t="s">
        <v>194</v>
      </c>
      <c r="CG26" t="s">
        <v>194</v>
      </c>
      <c r="CH26" t="s">
        <v>194</v>
      </c>
      <c r="CI26" t="s">
        <v>194</v>
      </c>
      <c r="CJ26" t="s">
        <v>194</v>
      </c>
      <c r="CK26" t="s">
        <v>194</v>
      </c>
      <c r="CL26" t="s">
        <v>194</v>
      </c>
      <c r="CM26" t="s">
        <v>194</v>
      </c>
      <c r="CN26" t="s">
        <v>196</v>
      </c>
      <c r="CO26" t="s">
        <v>196</v>
      </c>
      <c r="CP26" t="s">
        <v>196</v>
      </c>
      <c r="CQ26" t="s">
        <v>196</v>
      </c>
      <c r="CR26" t="s">
        <v>194</v>
      </c>
      <c r="CS26" t="s">
        <v>196</v>
      </c>
      <c r="CT26" t="s">
        <v>196</v>
      </c>
      <c r="CU26" t="s">
        <v>194</v>
      </c>
      <c r="CV26" t="s">
        <v>196</v>
      </c>
      <c r="CW26" t="s">
        <v>194</v>
      </c>
      <c r="CX26" t="s">
        <v>194</v>
      </c>
      <c r="CY26" t="s">
        <v>196</v>
      </c>
      <c r="CZ26" t="s">
        <v>196</v>
      </c>
    </row>
    <row r="27" spans="2:104" x14ac:dyDescent="0.2">
      <c r="C27" t="s">
        <v>180</v>
      </c>
      <c r="D27" s="177">
        <v>0</v>
      </c>
      <c r="E27" s="180">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c r="BY27">
        <v>0</v>
      </c>
      <c r="BZ27">
        <v>0</v>
      </c>
      <c r="CA27">
        <v>0</v>
      </c>
      <c r="CB27">
        <v>0</v>
      </c>
      <c r="CC27">
        <v>0</v>
      </c>
      <c r="CD27">
        <v>0</v>
      </c>
      <c r="CE27">
        <v>0</v>
      </c>
      <c r="CF27">
        <v>0</v>
      </c>
      <c r="CG27">
        <v>0</v>
      </c>
      <c r="CH27">
        <v>0</v>
      </c>
      <c r="CI27">
        <v>0</v>
      </c>
      <c r="CJ27">
        <v>0</v>
      </c>
      <c r="CK27">
        <v>0</v>
      </c>
      <c r="CL27">
        <v>0</v>
      </c>
      <c r="CM27">
        <v>0</v>
      </c>
      <c r="CN27">
        <v>0</v>
      </c>
      <c r="CO27">
        <v>0</v>
      </c>
      <c r="CP27">
        <v>0</v>
      </c>
      <c r="CQ27">
        <v>0</v>
      </c>
      <c r="CR27">
        <v>0</v>
      </c>
      <c r="CS27">
        <v>0</v>
      </c>
      <c r="CT27">
        <v>0</v>
      </c>
      <c r="CU27">
        <v>0</v>
      </c>
      <c r="CV27">
        <v>0</v>
      </c>
      <c r="CW27">
        <v>0</v>
      </c>
      <c r="CX27">
        <v>0</v>
      </c>
      <c r="CY27">
        <v>0</v>
      </c>
      <c r="CZ27">
        <v>0</v>
      </c>
    </row>
    <row r="28" spans="2:104" x14ac:dyDescent="0.2">
      <c r="C28" t="s">
        <v>181</v>
      </c>
      <c r="D28" s="177">
        <v>0</v>
      </c>
      <c r="E28" s="181">
        <v>0</v>
      </c>
      <c r="F28" s="177">
        <v>0</v>
      </c>
      <c r="G28" s="177">
        <v>0</v>
      </c>
      <c r="H28" s="177">
        <v>0</v>
      </c>
      <c r="I28" s="177">
        <v>0</v>
      </c>
      <c r="J28" s="177">
        <v>0</v>
      </c>
      <c r="K28" s="177">
        <v>0</v>
      </c>
      <c r="L28" s="177">
        <v>0</v>
      </c>
      <c r="M28" s="177">
        <v>0</v>
      </c>
      <c r="N28" s="177">
        <v>0</v>
      </c>
      <c r="O28" s="177">
        <v>0</v>
      </c>
      <c r="P28" s="177">
        <v>0</v>
      </c>
      <c r="Q28" s="177">
        <v>0</v>
      </c>
      <c r="R28" s="177">
        <v>0</v>
      </c>
      <c r="S28" s="177">
        <v>0</v>
      </c>
      <c r="T28" s="177">
        <v>0</v>
      </c>
      <c r="U28" s="177">
        <v>0</v>
      </c>
      <c r="V28" s="177">
        <v>0</v>
      </c>
      <c r="W28" s="177">
        <v>0</v>
      </c>
      <c r="X28" s="177">
        <v>0</v>
      </c>
      <c r="Y28" s="177">
        <v>0</v>
      </c>
      <c r="Z28" s="177">
        <v>0</v>
      </c>
      <c r="AA28" s="177">
        <v>0</v>
      </c>
      <c r="AB28" s="177">
        <v>0</v>
      </c>
      <c r="AC28" s="177">
        <v>0</v>
      </c>
      <c r="AD28" s="177">
        <v>0</v>
      </c>
      <c r="AE28" s="177">
        <v>0</v>
      </c>
      <c r="AF28" s="177">
        <v>0</v>
      </c>
      <c r="AG28" s="177">
        <v>0</v>
      </c>
      <c r="AH28" s="177">
        <v>0</v>
      </c>
      <c r="AI28" s="177">
        <v>0</v>
      </c>
      <c r="AJ28" s="177">
        <v>0</v>
      </c>
      <c r="AK28" s="177">
        <v>0</v>
      </c>
      <c r="AL28" s="177">
        <v>0</v>
      </c>
      <c r="AM28" s="177">
        <v>0</v>
      </c>
      <c r="AN28" s="177">
        <v>0</v>
      </c>
      <c r="AO28" s="177">
        <v>0</v>
      </c>
      <c r="AP28" s="177">
        <v>0</v>
      </c>
      <c r="AQ28" s="177">
        <v>0</v>
      </c>
      <c r="AR28" s="177">
        <v>0</v>
      </c>
      <c r="AS28" s="177">
        <v>0</v>
      </c>
      <c r="AT28" s="177">
        <v>0</v>
      </c>
      <c r="AU28" s="177">
        <v>0</v>
      </c>
      <c r="AV28" s="177">
        <v>0</v>
      </c>
      <c r="AW28" s="177">
        <v>0</v>
      </c>
      <c r="AX28" s="177">
        <v>0</v>
      </c>
      <c r="AY28" s="177">
        <v>0</v>
      </c>
      <c r="AZ28" s="177">
        <v>0</v>
      </c>
      <c r="BA28" s="177">
        <v>0</v>
      </c>
      <c r="BB28" s="177">
        <v>0</v>
      </c>
      <c r="BC28" s="177">
        <v>0</v>
      </c>
      <c r="BD28" s="177">
        <v>0</v>
      </c>
      <c r="BE28" s="177">
        <v>0</v>
      </c>
      <c r="BF28" s="177">
        <v>0</v>
      </c>
      <c r="BG28" s="177">
        <v>0</v>
      </c>
      <c r="BH28" s="177">
        <v>0</v>
      </c>
      <c r="BI28" s="177">
        <v>0</v>
      </c>
      <c r="BJ28" s="177">
        <v>0</v>
      </c>
      <c r="BK28" s="177">
        <v>0</v>
      </c>
      <c r="BL28" s="177">
        <v>0</v>
      </c>
      <c r="BM28" s="177">
        <v>0</v>
      </c>
      <c r="BN28" s="177">
        <v>0</v>
      </c>
      <c r="BO28" s="177">
        <v>0</v>
      </c>
      <c r="BP28" s="177">
        <v>0</v>
      </c>
      <c r="BQ28" s="177">
        <v>0</v>
      </c>
      <c r="BR28" s="177">
        <v>0</v>
      </c>
      <c r="BS28" s="177">
        <v>0</v>
      </c>
      <c r="BT28" s="177">
        <v>0</v>
      </c>
      <c r="BU28" s="177">
        <v>0</v>
      </c>
      <c r="BV28" s="177">
        <v>0</v>
      </c>
      <c r="BW28" s="177">
        <v>0</v>
      </c>
      <c r="BX28" s="177">
        <v>0</v>
      </c>
      <c r="BY28" s="177">
        <v>0</v>
      </c>
      <c r="BZ28" s="177">
        <v>0</v>
      </c>
      <c r="CA28" s="177">
        <v>0</v>
      </c>
      <c r="CB28" s="177">
        <v>0</v>
      </c>
      <c r="CC28" s="177">
        <v>0</v>
      </c>
      <c r="CD28" s="177">
        <v>0</v>
      </c>
      <c r="CE28" s="177">
        <v>0</v>
      </c>
      <c r="CF28" s="177">
        <v>0</v>
      </c>
      <c r="CG28" s="177">
        <v>0</v>
      </c>
      <c r="CH28" s="177">
        <v>0</v>
      </c>
      <c r="CI28" s="177">
        <v>0</v>
      </c>
      <c r="CJ28" s="177">
        <v>0</v>
      </c>
      <c r="CK28" s="177">
        <v>0</v>
      </c>
      <c r="CL28" s="177">
        <v>0</v>
      </c>
      <c r="CM28" s="177">
        <v>0</v>
      </c>
      <c r="CN28" s="177">
        <v>0</v>
      </c>
      <c r="CO28" s="177">
        <v>0</v>
      </c>
      <c r="CP28" s="177">
        <v>0</v>
      </c>
      <c r="CQ28" s="177">
        <v>0</v>
      </c>
      <c r="CR28" s="177">
        <v>0</v>
      </c>
      <c r="CS28" s="177">
        <v>0</v>
      </c>
      <c r="CT28" s="177">
        <v>0</v>
      </c>
      <c r="CU28" s="177">
        <v>0</v>
      </c>
      <c r="CV28" s="177">
        <v>0</v>
      </c>
      <c r="CW28" s="177">
        <v>0</v>
      </c>
      <c r="CX28" s="177">
        <v>0</v>
      </c>
      <c r="CY28" s="177">
        <v>0</v>
      </c>
      <c r="CZ28" s="177">
        <v>0</v>
      </c>
    </row>
    <row r="29" spans="2:104" x14ac:dyDescent="0.2">
      <c r="C29" t="s">
        <v>182</v>
      </c>
      <c r="D29" s="177">
        <v>0</v>
      </c>
      <c r="E29" s="181">
        <v>0</v>
      </c>
      <c r="F29" s="177">
        <v>0</v>
      </c>
      <c r="G29" s="177">
        <v>0</v>
      </c>
      <c r="H29" s="177">
        <v>0</v>
      </c>
      <c r="I29" s="177">
        <v>0</v>
      </c>
      <c r="J29" s="177">
        <v>0</v>
      </c>
      <c r="K29" s="177">
        <v>0</v>
      </c>
      <c r="L29" s="177">
        <v>0</v>
      </c>
      <c r="M29" s="177">
        <v>0</v>
      </c>
      <c r="N29" s="177">
        <v>0</v>
      </c>
      <c r="O29" s="177">
        <v>0</v>
      </c>
      <c r="P29" s="177">
        <v>0</v>
      </c>
      <c r="Q29" s="177">
        <v>0</v>
      </c>
      <c r="R29" s="177">
        <v>0</v>
      </c>
      <c r="S29" s="177">
        <v>0</v>
      </c>
      <c r="T29" s="177">
        <v>0</v>
      </c>
      <c r="U29" s="177">
        <v>0</v>
      </c>
      <c r="V29" s="177">
        <v>0</v>
      </c>
      <c r="W29" s="177">
        <v>0</v>
      </c>
      <c r="X29" s="177">
        <v>0</v>
      </c>
      <c r="Y29" s="177">
        <v>0</v>
      </c>
      <c r="Z29" s="177">
        <v>0</v>
      </c>
      <c r="AA29" s="177">
        <v>0</v>
      </c>
      <c r="AB29" s="177">
        <v>0</v>
      </c>
      <c r="AC29" s="177">
        <v>0</v>
      </c>
      <c r="AD29" s="177">
        <v>0</v>
      </c>
      <c r="AE29" s="177">
        <v>0</v>
      </c>
      <c r="AF29" s="177">
        <v>0</v>
      </c>
      <c r="AG29" s="177">
        <v>0</v>
      </c>
      <c r="AH29" s="177">
        <v>0</v>
      </c>
      <c r="AI29" s="177">
        <v>0</v>
      </c>
      <c r="AJ29" s="177">
        <v>0</v>
      </c>
      <c r="AK29" s="177">
        <v>0</v>
      </c>
      <c r="AL29" s="177">
        <v>0</v>
      </c>
      <c r="AM29" s="177">
        <v>0</v>
      </c>
      <c r="AN29" s="177">
        <v>0</v>
      </c>
      <c r="AO29" s="177">
        <v>0</v>
      </c>
      <c r="AP29" s="177">
        <v>0</v>
      </c>
      <c r="AQ29" s="177">
        <v>0</v>
      </c>
      <c r="AR29" s="177">
        <v>0</v>
      </c>
      <c r="AS29" s="177">
        <v>0</v>
      </c>
      <c r="AT29" s="177">
        <v>0</v>
      </c>
      <c r="AU29" s="177">
        <v>0</v>
      </c>
      <c r="AV29" s="177">
        <v>0</v>
      </c>
      <c r="AW29" s="177">
        <v>0</v>
      </c>
      <c r="AX29" s="177">
        <v>0</v>
      </c>
      <c r="AY29" s="177">
        <v>0</v>
      </c>
      <c r="AZ29" s="177">
        <v>0</v>
      </c>
      <c r="BA29" s="177">
        <v>0</v>
      </c>
      <c r="BB29" s="177">
        <v>0</v>
      </c>
      <c r="BC29" s="177">
        <v>0</v>
      </c>
      <c r="BD29" s="177">
        <v>0</v>
      </c>
      <c r="BE29" s="177">
        <v>0</v>
      </c>
      <c r="BF29" s="177">
        <v>0</v>
      </c>
      <c r="BG29" s="177">
        <v>0</v>
      </c>
      <c r="BH29" s="177">
        <v>0</v>
      </c>
      <c r="BI29" s="177">
        <v>0</v>
      </c>
      <c r="BJ29" s="177">
        <v>0</v>
      </c>
      <c r="BK29" s="177">
        <v>0</v>
      </c>
      <c r="BL29" s="177">
        <v>0</v>
      </c>
      <c r="BM29" s="177">
        <v>0</v>
      </c>
      <c r="BN29" s="177">
        <v>0</v>
      </c>
      <c r="BO29" s="177">
        <v>0</v>
      </c>
      <c r="BP29" s="177">
        <v>0</v>
      </c>
      <c r="BQ29" s="177">
        <v>0</v>
      </c>
      <c r="BR29" s="177">
        <v>0</v>
      </c>
      <c r="BS29" s="177">
        <v>0</v>
      </c>
      <c r="BT29" s="177">
        <v>0</v>
      </c>
      <c r="BU29" s="177">
        <v>0</v>
      </c>
      <c r="BV29" s="177">
        <v>0</v>
      </c>
      <c r="BW29" s="177">
        <v>0</v>
      </c>
      <c r="BX29" s="177">
        <v>0</v>
      </c>
      <c r="BY29" s="177">
        <v>0</v>
      </c>
      <c r="BZ29" s="177">
        <v>0</v>
      </c>
      <c r="CA29" s="177">
        <v>0</v>
      </c>
      <c r="CB29" s="177">
        <v>0</v>
      </c>
      <c r="CC29" s="177">
        <v>0</v>
      </c>
      <c r="CD29" s="177">
        <v>0</v>
      </c>
      <c r="CE29" s="177">
        <v>0</v>
      </c>
      <c r="CF29" s="177">
        <v>0</v>
      </c>
      <c r="CG29" s="177">
        <v>0</v>
      </c>
      <c r="CH29" s="177">
        <v>0</v>
      </c>
      <c r="CI29" s="177">
        <v>0</v>
      </c>
      <c r="CJ29" s="177">
        <v>0</v>
      </c>
      <c r="CK29" s="177">
        <v>0</v>
      </c>
      <c r="CL29" s="177">
        <v>0</v>
      </c>
      <c r="CM29" s="177">
        <v>0</v>
      </c>
      <c r="CN29" s="177">
        <v>0</v>
      </c>
      <c r="CO29" s="177">
        <v>0</v>
      </c>
      <c r="CP29" s="177">
        <v>0</v>
      </c>
      <c r="CQ29" s="177">
        <v>0</v>
      </c>
      <c r="CR29" s="177">
        <v>0</v>
      </c>
      <c r="CS29" s="177">
        <v>0</v>
      </c>
      <c r="CT29" s="177">
        <v>0</v>
      </c>
      <c r="CU29" s="177">
        <v>0</v>
      </c>
      <c r="CV29" s="177">
        <v>0</v>
      </c>
      <c r="CW29" s="177">
        <v>0</v>
      </c>
      <c r="CX29" s="177">
        <v>0</v>
      </c>
      <c r="CY29" s="177">
        <v>0</v>
      </c>
      <c r="CZ29" s="177">
        <v>0</v>
      </c>
    </row>
    <row r="30" spans="2:104" x14ac:dyDescent="0.2">
      <c r="C30" t="s">
        <v>183</v>
      </c>
      <c r="D30" s="177">
        <v>14.06</v>
      </c>
      <c r="E30" s="180">
        <v>14</v>
      </c>
      <c r="F30">
        <v>17</v>
      </c>
      <c r="G30">
        <v>16</v>
      </c>
      <c r="H30">
        <v>13</v>
      </c>
      <c r="I30">
        <v>9</v>
      </c>
      <c r="J30">
        <v>16</v>
      </c>
      <c r="K30">
        <v>17</v>
      </c>
      <c r="L30">
        <v>15</v>
      </c>
      <c r="M30">
        <v>16</v>
      </c>
      <c r="N30">
        <v>10</v>
      </c>
      <c r="O30">
        <v>13</v>
      </c>
      <c r="P30">
        <v>14</v>
      </c>
      <c r="Q30">
        <v>14</v>
      </c>
      <c r="R30">
        <v>13</v>
      </c>
      <c r="S30">
        <v>13</v>
      </c>
      <c r="T30">
        <v>20</v>
      </c>
      <c r="U30">
        <v>13</v>
      </c>
      <c r="V30">
        <v>11</v>
      </c>
      <c r="W30">
        <v>15</v>
      </c>
      <c r="X30">
        <v>19</v>
      </c>
      <c r="Y30">
        <v>15</v>
      </c>
      <c r="Z30">
        <v>10</v>
      </c>
      <c r="AA30">
        <v>14</v>
      </c>
      <c r="AB30">
        <v>15</v>
      </c>
      <c r="AC30">
        <v>17</v>
      </c>
      <c r="AD30">
        <v>16</v>
      </c>
      <c r="AE30">
        <v>12</v>
      </c>
      <c r="AF30">
        <v>17</v>
      </c>
      <c r="AG30">
        <v>15</v>
      </c>
      <c r="AH30">
        <v>14</v>
      </c>
      <c r="AI30">
        <v>12</v>
      </c>
      <c r="AJ30">
        <v>12</v>
      </c>
      <c r="AK30">
        <v>12</v>
      </c>
      <c r="AL30">
        <v>11</v>
      </c>
      <c r="AM30">
        <v>17</v>
      </c>
      <c r="AN30">
        <v>16</v>
      </c>
      <c r="AO30">
        <v>16</v>
      </c>
      <c r="AP30">
        <v>14</v>
      </c>
      <c r="AQ30">
        <v>12</v>
      </c>
      <c r="AR30">
        <v>15</v>
      </c>
      <c r="AS30">
        <v>14</v>
      </c>
      <c r="AT30">
        <v>16</v>
      </c>
      <c r="AU30">
        <v>14</v>
      </c>
      <c r="AV30">
        <v>17</v>
      </c>
      <c r="AW30">
        <v>16</v>
      </c>
      <c r="AX30">
        <v>13</v>
      </c>
      <c r="AY30">
        <v>14</v>
      </c>
      <c r="AZ30">
        <v>13</v>
      </c>
      <c r="BA30">
        <v>12</v>
      </c>
      <c r="BB30">
        <v>12</v>
      </c>
      <c r="BC30">
        <v>13</v>
      </c>
      <c r="BD30">
        <v>11</v>
      </c>
      <c r="BE30">
        <v>13</v>
      </c>
      <c r="BF30">
        <v>16</v>
      </c>
      <c r="BG30">
        <v>12</v>
      </c>
      <c r="BH30">
        <v>17</v>
      </c>
      <c r="BI30">
        <v>16</v>
      </c>
      <c r="BJ30">
        <v>13</v>
      </c>
      <c r="BK30">
        <v>17</v>
      </c>
      <c r="BL30">
        <v>13</v>
      </c>
      <c r="BM30">
        <v>16</v>
      </c>
      <c r="BN30">
        <v>18</v>
      </c>
      <c r="BO30">
        <v>12</v>
      </c>
      <c r="BP30">
        <v>13</v>
      </c>
      <c r="BQ30">
        <v>13</v>
      </c>
      <c r="BR30">
        <v>15</v>
      </c>
      <c r="BS30">
        <v>13</v>
      </c>
      <c r="BT30">
        <v>11</v>
      </c>
      <c r="BU30">
        <v>17</v>
      </c>
      <c r="BV30">
        <v>16</v>
      </c>
      <c r="BW30">
        <v>16</v>
      </c>
      <c r="BX30">
        <v>14</v>
      </c>
      <c r="BY30">
        <v>15</v>
      </c>
      <c r="BZ30">
        <v>12</v>
      </c>
      <c r="CA30">
        <v>16</v>
      </c>
      <c r="CB30">
        <v>16</v>
      </c>
      <c r="CC30">
        <v>14</v>
      </c>
      <c r="CD30">
        <v>15</v>
      </c>
      <c r="CE30">
        <v>15</v>
      </c>
      <c r="CF30">
        <v>14</v>
      </c>
      <c r="CG30">
        <v>16</v>
      </c>
      <c r="CH30">
        <v>14</v>
      </c>
      <c r="CI30">
        <v>13</v>
      </c>
      <c r="CJ30">
        <v>12</v>
      </c>
      <c r="CK30">
        <v>13</v>
      </c>
      <c r="CL30">
        <v>15</v>
      </c>
      <c r="CM30">
        <v>13</v>
      </c>
      <c r="CN30">
        <v>12</v>
      </c>
      <c r="CO30">
        <v>13</v>
      </c>
      <c r="CP30">
        <v>10</v>
      </c>
      <c r="CQ30">
        <v>12</v>
      </c>
      <c r="CR30">
        <v>12</v>
      </c>
      <c r="CS30">
        <v>14</v>
      </c>
      <c r="CT30">
        <v>14</v>
      </c>
      <c r="CU30">
        <v>14</v>
      </c>
      <c r="CV30">
        <v>15</v>
      </c>
      <c r="CW30">
        <v>15</v>
      </c>
      <c r="CX30">
        <v>12</v>
      </c>
      <c r="CY30">
        <v>11</v>
      </c>
      <c r="CZ30">
        <v>13</v>
      </c>
    </row>
    <row r="31" spans="2:104" x14ac:dyDescent="0.2">
      <c r="C31" t="s">
        <v>184</v>
      </c>
      <c r="D31" s="177">
        <v>0.56736698047088363</v>
      </c>
      <c r="E31" s="181">
        <v>0.58355425559730689</v>
      </c>
      <c r="F31" s="177">
        <v>0.67867072667086314</v>
      </c>
      <c r="G31" s="177">
        <v>0.59169274746696487</v>
      </c>
      <c r="H31" s="177">
        <v>0.53679464586924874</v>
      </c>
      <c r="I31" s="177">
        <v>0.34166665553466408</v>
      </c>
      <c r="J31" s="177">
        <v>0.65308498956198935</v>
      </c>
      <c r="K31" s="177">
        <v>0.70910379735484064</v>
      </c>
      <c r="L31" s="177">
        <v>0.55315029654431735</v>
      </c>
      <c r="M31" s="177">
        <v>0.59793111931970722</v>
      </c>
      <c r="N31" s="177">
        <v>0.43108569990100493</v>
      </c>
      <c r="O31" s="177">
        <v>0.55396935872019004</v>
      </c>
      <c r="P31" s="177">
        <v>0.57648718163214119</v>
      </c>
      <c r="Q31" s="177">
        <v>0.54739440930796002</v>
      </c>
      <c r="R31" s="177">
        <v>0.52725751093811912</v>
      </c>
      <c r="S31" s="177">
        <v>0.53068516078901085</v>
      </c>
      <c r="T31" s="177">
        <v>0.7684014519059893</v>
      </c>
      <c r="U31" s="177">
        <v>0.50999328884408612</v>
      </c>
      <c r="V31" s="177">
        <v>0.46007226667844414</v>
      </c>
      <c r="W31" s="177">
        <v>0.5812810885681875</v>
      </c>
      <c r="X31" s="177">
        <v>0.80731725418380063</v>
      </c>
      <c r="Y31" s="177">
        <v>0.61731141444652671</v>
      </c>
      <c r="Z31" s="177">
        <v>0.41578815848719863</v>
      </c>
      <c r="AA31" s="177">
        <v>0.54240413215811689</v>
      </c>
      <c r="AB31" s="177">
        <v>0.57749406526752511</v>
      </c>
      <c r="AC31" s="177">
        <v>0.67358882246466156</v>
      </c>
      <c r="AD31" s="177">
        <v>0.68768562152959811</v>
      </c>
      <c r="AE31" s="177">
        <v>0.50179045738012362</v>
      </c>
      <c r="AF31" s="177">
        <v>0.71156917689020482</v>
      </c>
      <c r="AG31" s="177">
        <v>0.61297267178240145</v>
      </c>
      <c r="AH31" s="177">
        <v>0.55731501132787575</v>
      </c>
      <c r="AI31" s="177">
        <v>0.51129842345468357</v>
      </c>
      <c r="AJ31" s="177">
        <v>0.49212613410491496</v>
      </c>
      <c r="AK31" s="177">
        <v>0.46357217967043413</v>
      </c>
      <c r="AL31" s="177">
        <v>0.4949149234794617</v>
      </c>
      <c r="AM31" s="177">
        <v>0.70390914270068339</v>
      </c>
      <c r="AN31" s="177">
        <v>0.73144978191129018</v>
      </c>
      <c r="AO31" s="177">
        <v>0.65318319556416238</v>
      </c>
      <c r="AP31" s="177">
        <v>0.56605496829342594</v>
      </c>
      <c r="AQ31" s="177">
        <v>0.49325976000483496</v>
      </c>
      <c r="AR31" s="177">
        <v>0.55954573964143217</v>
      </c>
      <c r="AS31" s="177">
        <v>0.58757140364651239</v>
      </c>
      <c r="AT31" s="177">
        <v>0.61336684019316645</v>
      </c>
      <c r="AU31" s="177">
        <v>0.51286494592259546</v>
      </c>
      <c r="AV31" s="177">
        <v>0.65318606077932018</v>
      </c>
      <c r="AW31" s="177">
        <v>0.62322004434334122</v>
      </c>
      <c r="AX31" s="177">
        <v>0.4501660697519439</v>
      </c>
      <c r="AY31" s="177">
        <v>0.60170890437285374</v>
      </c>
      <c r="AZ31" s="177">
        <v>0.51178305601963026</v>
      </c>
      <c r="BA31" s="177">
        <v>0.46627670965960266</v>
      </c>
      <c r="BB31" s="177">
        <v>0.51325447362320331</v>
      </c>
      <c r="BC31" s="177">
        <v>0.50450272473369573</v>
      </c>
      <c r="BD31" s="177">
        <v>0.44276189664644244</v>
      </c>
      <c r="BE31" s="177">
        <v>0.53153578645355515</v>
      </c>
      <c r="BF31" s="177">
        <v>0.6092031794291185</v>
      </c>
      <c r="BG31" s="177">
        <v>0.45863256097419963</v>
      </c>
      <c r="BH31" s="177">
        <v>0.72511049989749288</v>
      </c>
      <c r="BI31" s="177">
        <v>0.55316131207389341</v>
      </c>
      <c r="BJ31" s="177">
        <v>0.54105087497666338</v>
      </c>
      <c r="BK31" s="177">
        <v>0.67831002667095552</v>
      </c>
      <c r="BL31" s="177">
        <v>0.54905387023544761</v>
      </c>
      <c r="BM31" s="177">
        <v>0.61665634661000235</v>
      </c>
      <c r="BN31" s="177">
        <v>0.68400190456989951</v>
      </c>
      <c r="BO31" s="177">
        <v>0.51011103920779488</v>
      </c>
      <c r="BP31" s="177">
        <v>0.48243541955792119</v>
      </c>
      <c r="BQ31" s="177">
        <v>0.4956339081944422</v>
      </c>
      <c r="BR31" s="177">
        <v>0.60660222637850758</v>
      </c>
      <c r="BS31" s="177">
        <v>0.51820475121178733</v>
      </c>
      <c r="BT31" s="177">
        <v>0.43674198585710045</v>
      </c>
      <c r="BU31" s="177">
        <v>0.62667096108780818</v>
      </c>
      <c r="BV31" s="177">
        <v>0.66881052279601461</v>
      </c>
      <c r="BW31" s="177">
        <v>0.65945324762847213</v>
      </c>
      <c r="BX31" s="177">
        <v>0.5568311143592124</v>
      </c>
      <c r="BY31" s="177">
        <v>0.55994760101603791</v>
      </c>
      <c r="BZ31" s="177">
        <v>0.45020737120726617</v>
      </c>
      <c r="CA31" s="177">
        <v>0.6512082348242143</v>
      </c>
      <c r="CB31" s="177">
        <v>0.61080772635089275</v>
      </c>
      <c r="CC31" s="177">
        <v>0.56792667928941909</v>
      </c>
      <c r="CD31" s="177">
        <v>0.63253617487457769</v>
      </c>
      <c r="CE31" s="177">
        <v>0.60764825872350625</v>
      </c>
      <c r="CF31" s="177">
        <v>0.60403343606651394</v>
      </c>
      <c r="CG31" s="177">
        <v>0.64994017666397774</v>
      </c>
      <c r="CH31" s="177">
        <v>0.55647998721318592</v>
      </c>
      <c r="CI31" s="177">
        <v>0.52630641006387657</v>
      </c>
      <c r="CJ31" s="177">
        <v>0.50262822021312015</v>
      </c>
      <c r="CK31" s="177">
        <v>0.52799957129932507</v>
      </c>
      <c r="CL31" s="177">
        <v>0.56526475490557604</v>
      </c>
      <c r="CM31" s="177">
        <v>0.56766307730422716</v>
      </c>
      <c r="CN31" s="177">
        <v>0.52004363186950398</v>
      </c>
      <c r="CO31" s="177">
        <v>0.52282159602789646</v>
      </c>
      <c r="CP31" s="177">
        <v>0.36484919651911596</v>
      </c>
      <c r="CQ31" s="177">
        <v>0.56583174636977895</v>
      </c>
      <c r="CR31" s="177">
        <v>0.44348670415176261</v>
      </c>
      <c r="CS31" s="177">
        <v>0.61485742364689777</v>
      </c>
      <c r="CT31" s="177">
        <v>0.57685863140939497</v>
      </c>
      <c r="CU31" s="177">
        <v>0.6176141447111636</v>
      </c>
      <c r="CV31" s="177">
        <v>0.65659609412161901</v>
      </c>
      <c r="CW31" s="177">
        <v>0.63413489262024514</v>
      </c>
      <c r="CX31" s="177">
        <v>0.56424275884251285</v>
      </c>
      <c r="CY31" s="177">
        <v>0.45213720385288586</v>
      </c>
      <c r="CZ31" s="177">
        <v>0.52692398911890481</v>
      </c>
    </row>
    <row r="32" spans="2:104" x14ac:dyDescent="0.2">
      <c r="C32" t="s">
        <v>185</v>
      </c>
      <c r="D32" s="177">
        <v>0</v>
      </c>
      <c r="E32" s="181">
        <v>0</v>
      </c>
      <c r="F32" s="177">
        <v>0</v>
      </c>
      <c r="G32" s="177">
        <v>0</v>
      </c>
      <c r="H32" s="177">
        <v>0</v>
      </c>
      <c r="I32" s="177">
        <v>0</v>
      </c>
      <c r="J32" s="177">
        <v>0</v>
      </c>
      <c r="K32" s="177">
        <v>0</v>
      </c>
      <c r="L32" s="177">
        <v>0</v>
      </c>
      <c r="M32" s="177">
        <v>0</v>
      </c>
      <c r="N32" s="177">
        <v>0</v>
      </c>
      <c r="O32" s="177">
        <v>0</v>
      </c>
      <c r="P32" s="177">
        <v>0</v>
      </c>
      <c r="Q32" s="177">
        <v>0</v>
      </c>
      <c r="R32" s="177">
        <v>0</v>
      </c>
      <c r="S32" s="177">
        <v>0</v>
      </c>
      <c r="T32" s="177">
        <v>0</v>
      </c>
      <c r="U32" s="177">
        <v>0</v>
      </c>
      <c r="V32" s="177">
        <v>0</v>
      </c>
      <c r="W32" s="177">
        <v>0</v>
      </c>
      <c r="X32" s="177">
        <v>0</v>
      </c>
      <c r="Y32" s="177">
        <v>0</v>
      </c>
      <c r="Z32" s="177">
        <v>0</v>
      </c>
      <c r="AA32" s="177">
        <v>0</v>
      </c>
      <c r="AB32" s="177">
        <v>0</v>
      </c>
      <c r="AC32" s="177">
        <v>0</v>
      </c>
      <c r="AD32" s="177">
        <v>0</v>
      </c>
      <c r="AE32" s="177">
        <v>0</v>
      </c>
      <c r="AF32" s="177">
        <v>0</v>
      </c>
      <c r="AG32" s="177">
        <v>0</v>
      </c>
      <c r="AH32" s="177">
        <v>0</v>
      </c>
      <c r="AI32" s="177">
        <v>0</v>
      </c>
      <c r="AJ32" s="177">
        <v>0</v>
      </c>
      <c r="AK32" s="177">
        <v>0</v>
      </c>
      <c r="AL32" s="177">
        <v>0</v>
      </c>
      <c r="AM32" s="177">
        <v>0</v>
      </c>
      <c r="AN32" s="177">
        <v>0</v>
      </c>
      <c r="AO32" s="177">
        <v>0</v>
      </c>
      <c r="AP32" s="177">
        <v>0</v>
      </c>
      <c r="AQ32" s="177">
        <v>0</v>
      </c>
      <c r="AR32" s="177">
        <v>0</v>
      </c>
      <c r="AS32" s="177">
        <v>0</v>
      </c>
      <c r="AT32" s="177">
        <v>0</v>
      </c>
      <c r="AU32" s="177">
        <v>0</v>
      </c>
      <c r="AV32" s="177">
        <v>0</v>
      </c>
      <c r="AW32" s="177">
        <v>0</v>
      </c>
      <c r="AX32" s="177">
        <v>0</v>
      </c>
      <c r="AY32" s="177">
        <v>0</v>
      </c>
      <c r="AZ32" s="177">
        <v>0</v>
      </c>
      <c r="BA32" s="177">
        <v>0</v>
      </c>
      <c r="BB32" s="177">
        <v>0</v>
      </c>
      <c r="BC32" s="177">
        <v>0</v>
      </c>
      <c r="BD32" s="177">
        <v>0</v>
      </c>
      <c r="BE32" s="177">
        <v>0</v>
      </c>
      <c r="BF32" s="177">
        <v>0</v>
      </c>
      <c r="BG32" s="177">
        <v>0</v>
      </c>
      <c r="BH32" s="177">
        <v>0</v>
      </c>
      <c r="BI32" s="177">
        <v>0</v>
      </c>
      <c r="BJ32" s="177">
        <v>0</v>
      </c>
      <c r="BK32" s="177">
        <v>0</v>
      </c>
      <c r="BL32" s="177">
        <v>0</v>
      </c>
      <c r="BM32" s="177">
        <v>0</v>
      </c>
      <c r="BN32" s="177">
        <v>0</v>
      </c>
      <c r="BO32" s="177">
        <v>0</v>
      </c>
      <c r="BP32" s="177">
        <v>0</v>
      </c>
      <c r="BQ32" s="177">
        <v>0</v>
      </c>
      <c r="BR32" s="177">
        <v>0</v>
      </c>
      <c r="BS32" s="177">
        <v>0</v>
      </c>
      <c r="BT32" s="177">
        <v>0</v>
      </c>
      <c r="BU32" s="177">
        <v>0</v>
      </c>
      <c r="BV32" s="177">
        <v>0</v>
      </c>
      <c r="BW32" s="177">
        <v>0</v>
      </c>
      <c r="BX32" s="177">
        <v>0</v>
      </c>
      <c r="BY32" s="177">
        <v>0</v>
      </c>
      <c r="BZ32" s="177">
        <v>0</v>
      </c>
      <c r="CA32" s="177">
        <v>0</v>
      </c>
      <c r="CB32" s="177">
        <v>0</v>
      </c>
      <c r="CC32" s="177">
        <v>0</v>
      </c>
      <c r="CD32" s="177">
        <v>0</v>
      </c>
      <c r="CE32" s="177">
        <v>0</v>
      </c>
      <c r="CF32" s="177">
        <v>0</v>
      </c>
      <c r="CG32" s="177">
        <v>0</v>
      </c>
      <c r="CH32" s="177">
        <v>0</v>
      </c>
      <c r="CI32" s="177">
        <v>0</v>
      </c>
      <c r="CJ32" s="177">
        <v>0</v>
      </c>
      <c r="CK32" s="177">
        <v>0</v>
      </c>
      <c r="CL32" s="177">
        <v>0</v>
      </c>
      <c r="CM32" s="177">
        <v>0</v>
      </c>
      <c r="CN32" s="177">
        <v>0</v>
      </c>
      <c r="CO32" s="177">
        <v>0</v>
      </c>
      <c r="CP32" s="177">
        <v>0</v>
      </c>
      <c r="CQ32" s="177">
        <v>0</v>
      </c>
      <c r="CR32" s="177">
        <v>0</v>
      </c>
      <c r="CS32" s="177">
        <v>0</v>
      </c>
      <c r="CT32" s="177">
        <v>0</v>
      </c>
      <c r="CU32" s="177">
        <v>0</v>
      </c>
      <c r="CV32" s="177">
        <v>0</v>
      </c>
      <c r="CW32" s="177">
        <v>0</v>
      </c>
      <c r="CX32" s="177">
        <v>0</v>
      </c>
      <c r="CY32" s="177">
        <v>0</v>
      </c>
      <c r="CZ32" s="177">
        <v>0</v>
      </c>
    </row>
    <row r="33" spans="1:104" x14ac:dyDescent="0.2">
      <c r="E33" s="180"/>
    </row>
    <row r="34" spans="1:104" x14ac:dyDescent="0.2">
      <c r="B34" t="s">
        <v>168</v>
      </c>
      <c r="C34" t="s">
        <v>179</v>
      </c>
      <c r="D34" s="185" t="s">
        <v>197</v>
      </c>
      <c r="E34" s="180" t="s">
        <v>194</v>
      </c>
      <c r="F34" t="s">
        <v>194</v>
      </c>
      <c r="G34" t="s">
        <v>196</v>
      </c>
      <c r="H34" t="s">
        <v>196</v>
      </c>
      <c r="I34" t="s">
        <v>196</v>
      </c>
      <c r="J34" t="s">
        <v>194</v>
      </c>
      <c r="K34" t="s">
        <v>196</v>
      </c>
      <c r="L34" t="s">
        <v>196</v>
      </c>
      <c r="M34" t="s">
        <v>196</v>
      </c>
      <c r="N34" t="s">
        <v>196</v>
      </c>
      <c r="O34" t="s">
        <v>196</v>
      </c>
      <c r="P34" t="s">
        <v>194</v>
      </c>
      <c r="Q34" t="s">
        <v>196</v>
      </c>
      <c r="R34" t="s">
        <v>194</v>
      </c>
      <c r="S34" t="s">
        <v>196</v>
      </c>
      <c r="T34" t="s">
        <v>196</v>
      </c>
      <c r="U34" t="s">
        <v>196</v>
      </c>
      <c r="V34" t="s">
        <v>196</v>
      </c>
      <c r="W34" t="s">
        <v>194</v>
      </c>
      <c r="X34" t="s">
        <v>194</v>
      </c>
      <c r="Y34" t="s">
        <v>196</v>
      </c>
      <c r="Z34" t="s">
        <v>196</v>
      </c>
      <c r="AA34" t="s">
        <v>194</v>
      </c>
      <c r="AB34" t="s">
        <v>196</v>
      </c>
      <c r="AC34" t="s">
        <v>196</v>
      </c>
      <c r="AD34" t="s">
        <v>196</v>
      </c>
      <c r="AE34" t="s">
        <v>196</v>
      </c>
      <c r="AF34" t="s">
        <v>196</v>
      </c>
      <c r="AG34" t="s">
        <v>196</v>
      </c>
      <c r="AH34" t="s">
        <v>194</v>
      </c>
      <c r="AI34" t="s">
        <v>194</v>
      </c>
      <c r="AJ34" t="s">
        <v>196</v>
      </c>
      <c r="AK34" t="s">
        <v>194</v>
      </c>
      <c r="AL34" t="s">
        <v>196</v>
      </c>
      <c r="AM34" t="s">
        <v>196</v>
      </c>
      <c r="AN34" t="s">
        <v>194</v>
      </c>
      <c r="AO34" t="s">
        <v>194</v>
      </c>
      <c r="AP34" t="s">
        <v>194</v>
      </c>
      <c r="AQ34" t="s">
        <v>194</v>
      </c>
      <c r="AR34" t="s">
        <v>196</v>
      </c>
      <c r="AS34" t="s">
        <v>196</v>
      </c>
      <c r="AT34" t="s">
        <v>196</v>
      </c>
      <c r="AU34" t="s">
        <v>196</v>
      </c>
      <c r="AV34" t="s">
        <v>196</v>
      </c>
      <c r="AW34" t="s">
        <v>194</v>
      </c>
      <c r="AX34" t="s">
        <v>196</v>
      </c>
      <c r="AY34" t="s">
        <v>196</v>
      </c>
      <c r="AZ34" t="s">
        <v>194</v>
      </c>
      <c r="BA34" t="s">
        <v>196</v>
      </c>
      <c r="BB34" t="s">
        <v>194</v>
      </c>
      <c r="BC34" t="s">
        <v>196</v>
      </c>
      <c r="BD34" t="s">
        <v>196</v>
      </c>
      <c r="BE34" t="s">
        <v>194</v>
      </c>
      <c r="BF34" t="s">
        <v>194</v>
      </c>
      <c r="BG34" t="s">
        <v>196</v>
      </c>
      <c r="BH34" t="s">
        <v>194</v>
      </c>
      <c r="BI34" t="s">
        <v>194</v>
      </c>
      <c r="BJ34" t="s">
        <v>196</v>
      </c>
      <c r="BK34" t="s">
        <v>196</v>
      </c>
      <c r="BL34" t="s">
        <v>196</v>
      </c>
      <c r="BM34" t="s">
        <v>194</v>
      </c>
      <c r="BN34" t="s">
        <v>196</v>
      </c>
      <c r="BO34" t="s">
        <v>196</v>
      </c>
      <c r="BP34" t="s">
        <v>196</v>
      </c>
      <c r="BQ34" t="s">
        <v>194</v>
      </c>
      <c r="BR34" t="s">
        <v>194</v>
      </c>
      <c r="BS34" t="s">
        <v>194</v>
      </c>
      <c r="BT34" t="s">
        <v>196</v>
      </c>
      <c r="BU34" t="s">
        <v>196</v>
      </c>
      <c r="BV34" t="s">
        <v>196</v>
      </c>
      <c r="BW34" t="s">
        <v>196</v>
      </c>
      <c r="BX34" t="s">
        <v>196</v>
      </c>
      <c r="BY34" t="s">
        <v>196</v>
      </c>
      <c r="BZ34" t="s">
        <v>196</v>
      </c>
      <c r="CA34" t="s">
        <v>194</v>
      </c>
      <c r="CB34" t="s">
        <v>196</v>
      </c>
      <c r="CC34" t="s">
        <v>194</v>
      </c>
      <c r="CD34" t="s">
        <v>194</v>
      </c>
      <c r="CE34" t="s">
        <v>194</v>
      </c>
      <c r="CF34" t="s">
        <v>196</v>
      </c>
      <c r="CG34" t="s">
        <v>196</v>
      </c>
      <c r="CH34" t="s">
        <v>196</v>
      </c>
      <c r="CI34" t="s">
        <v>194</v>
      </c>
      <c r="CJ34" t="s">
        <v>196</v>
      </c>
      <c r="CK34" t="s">
        <v>194</v>
      </c>
      <c r="CL34" t="s">
        <v>196</v>
      </c>
      <c r="CM34" t="s">
        <v>194</v>
      </c>
      <c r="CN34" t="s">
        <v>196</v>
      </c>
      <c r="CO34" t="s">
        <v>196</v>
      </c>
      <c r="CP34" t="s">
        <v>196</v>
      </c>
      <c r="CQ34" t="s">
        <v>196</v>
      </c>
      <c r="CR34" t="s">
        <v>194</v>
      </c>
      <c r="CS34" t="s">
        <v>196</v>
      </c>
      <c r="CT34" t="s">
        <v>196</v>
      </c>
      <c r="CU34" t="s">
        <v>194</v>
      </c>
      <c r="CV34" t="s">
        <v>196</v>
      </c>
      <c r="CW34" t="s">
        <v>194</v>
      </c>
      <c r="CX34" t="s">
        <v>196</v>
      </c>
      <c r="CY34" t="s">
        <v>196</v>
      </c>
      <c r="CZ34" t="s">
        <v>196</v>
      </c>
    </row>
    <row r="35" spans="1:104" x14ac:dyDescent="0.2">
      <c r="C35" t="s">
        <v>180</v>
      </c>
      <c r="D35" s="177">
        <v>0</v>
      </c>
      <c r="E35" s="180">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c r="BY35">
        <v>0</v>
      </c>
      <c r="BZ35">
        <v>0</v>
      </c>
      <c r="CA35">
        <v>0</v>
      </c>
      <c r="CB35">
        <v>0</v>
      </c>
      <c r="CC35">
        <v>0</v>
      </c>
      <c r="CD35">
        <v>0</v>
      </c>
      <c r="CE35">
        <v>0</v>
      </c>
      <c r="CF35">
        <v>0</v>
      </c>
      <c r="CG35">
        <v>0</v>
      </c>
      <c r="CH35">
        <v>0</v>
      </c>
      <c r="CI35">
        <v>0</v>
      </c>
      <c r="CJ35">
        <v>0</v>
      </c>
      <c r="CK35">
        <v>0</v>
      </c>
      <c r="CL35">
        <v>0</v>
      </c>
      <c r="CM35">
        <v>0</v>
      </c>
      <c r="CN35">
        <v>0</v>
      </c>
      <c r="CO35">
        <v>0</v>
      </c>
      <c r="CP35">
        <v>0</v>
      </c>
      <c r="CQ35">
        <v>0</v>
      </c>
      <c r="CR35">
        <v>0</v>
      </c>
      <c r="CS35">
        <v>0</v>
      </c>
      <c r="CT35">
        <v>0</v>
      </c>
      <c r="CU35">
        <v>0</v>
      </c>
      <c r="CV35">
        <v>0</v>
      </c>
      <c r="CW35">
        <v>0</v>
      </c>
      <c r="CX35">
        <v>0</v>
      </c>
      <c r="CY35">
        <v>0</v>
      </c>
      <c r="CZ35">
        <v>0</v>
      </c>
    </row>
    <row r="36" spans="1:104" x14ac:dyDescent="0.2">
      <c r="C36" t="s">
        <v>181</v>
      </c>
      <c r="D36" s="177">
        <v>0</v>
      </c>
      <c r="E36" s="181">
        <v>0</v>
      </c>
      <c r="F36" s="177">
        <v>0</v>
      </c>
      <c r="G36" s="177">
        <v>0</v>
      </c>
      <c r="H36" s="177">
        <v>0</v>
      </c>
      <c r="I36" s="177">
        <v>0</v>
      </c>
      <c r="J36" s="177">
        <v>0</v>
      </c>
      <c r="K36" s="177">
        <v>0</v>
      </c>
      <c r="L36" s="177">
        <v>0</v>
      </c>
      <c r="M36" s="177">
        <v>0</v>
      </c>
      <c r="N36" s="177">
        <v>0</v>
      </c>
      <c r="O36" s="177">
        <v>0</v>
      </c>
      <c r="P36" s="177">
        <v>0</v>
      </c>
      <c r="Q36" s="177">
        <v>0</v>
      </c>
      <c r="R36" s="177">
        <v>0</v>
      </c>
      <c r="S36" s="177">
        <v>0</v>
      </c>
      <c r="T36" s="177">
        <v>0</v>
      </c>
      <c r="U36" s="177">
        <v>0</v>
      </c>
      <c r="V36" s="177">
        <v>0</v>
      </c>
      <c r="W36" s="177">
        <v>0</v>
      </c>
      <c r="X36" s="177">
        <v>0</v>
      </c>
      <c r="Y36" s="177">
        <v>0</v>
      </c>
      <c r="Z36" s="177">
        <v>0</v>
      </c>
      <c r="AA36" s="177">
        <v>0</v>
      </c>
      <c r="AB36" s="177">
        <v>0</v>
      </c>
      <c r="AC36" s="177">
        <v>0</v>
      </c>
      <c r="AD36" s="177">
        <v>0</v>
      </c>
      <c r="AE36" s="177">
        <v>0</v>
      </c>
      <c r="AF36" s="177">
        <v>0</v>
      </c>
      <c r="AG36" s="177">
        <v>0</v>
      </c>
      <c r="AH36" s="177">
        <v>0</v>
      </c>
      <c r="AI36" s="177">
        <v>0</v>
      </c>
      <c r="AJ36" s="177">
        <v>0</v>
      </c>
      <c r="AK36" s="177">
        <v>0</v>
      </c>
      <c r="AL36" s="177">
        <v>0</v>
      </c>
      <c r="AM36" s="177">
        <v>0</v>
      </c>
      <c r="AN36" s="177">
        <v>0</v>
      </c>
      <c r="AO36" s="177">
        <v>0</v>
      </c>
      <c r="AP36" s="177">
        <v>0</v>
      </c>
      <c r="AQ36" s="177">
        <v>0</v>
      </c>
      <c r="AR36" s="177">
        <v>0</v>
      </c>
      <c r="AS36" s="177">
        <v>0</v>
      </c>
      <c r="AT36" s="177">
        <v>0</v>
      </c>
      <c r="AU36" s="177">
        <v>0</v>
      </c>
      <c r="AV36" s="177">
        <v>0</v>
      </c>
      <c r="AW36" s="177">
        <v>0</v>
      </c>
      <c r="AX36" s="177">
        <v>0</v>
      </c>
      <c r="AY36" s="177">
        <v>0</v>
      </c>
      <c r="AZ36" s="177">
        <v>0</v>
      </c>
      <c r="BA36" s="177">
        <v>0</v>
      </c>
      <c r="BB36" s="177">
        <v>0</v>
      </c>
      <c r="BC36" s="177">
        <v>0</v>
      </c>
      <c r="BD36" s="177">
        <v>0</v>
      </c>
      <c r="BE36" s="177">
        <v>0</v>
      </c>
      <c r="BF36" s="177">
        <v>0</v>
      </c>
      <c r="BG36" s="177">
        <v>0</v>
      </c>
      <c r="BH36" s="177">
        <v>0</v>
      </c>
      <c r="BI36" s="177">
        <v>0</v>
      </c>
      <c r="BJ36" s="177">
        <v>0</v>
      </c>
      <c r="BK36" s="177">
        <v>0</v>
      </c>
      <c r="BL36" s="177">
        <v>0</v>
      </c>
      <c r="BM36" s="177">
        <v>0</v>
      </c>
      <c r="BN36" s="177">
        <v>0</v>
      </c>
      <c r="BO36" s="177">
        <v>0</v>
      </c>
      <c r="BP36" s="177">
        <v>0</v>
      </c>
      <c r="BQ36" s="177">
        <v>0</v>
      </c>
      <c r="BR36" s="177">
        <v>0</v>
      </c>
      <c r="BS36" s="177">
        <v>0</v>
      </c>
      <c r="BT36" s="177">
        <v>0</v>
      </c>
      <c r="BU36" s="177">
        <v>0</v>
      </c>
      <c r="BV36" s="177">
        <v>0</v>
      </c>
      <c r="BW36" s="177">
        <v>0</v>
      </c>
      <c r="BX36" s="177">
        <v>0</v>
      </c>
      <c r="BY36" s="177">
        <v>0</v>
      </c>
      <c r="BZ36" s="177">
        <v>0</v>
      </c>
      <c r="CA36" s="177">
        <v>0</v>
      </c>
      <c r="CB36" s="177">
        <v>0</v>
      </c>
      <c r="CC36" s="177">
        <v>0</v>
      </c>
      <c r="CD36" s="177">
        <v>0</v>
      </c>
      <c r="CE36" s="177">
        <v>0</v>
      </c>
      <c r="CF36" s="177">
        <v>0</v>
      </c>
      <c r="CG36" s="177">
        <v>0</v>
      </c>
      <c r="CH36" s="177">
        <v>0</v>
      </c>
      <c r="CI36" s="177">
        <v>0</v>
      </c>
      <c r="CJ36" s="177">
        <v>0</v>
      </c>
      <c r="CK36" s="177">
        <v>0</v>
      </c>
      <c r="CL36" s="177">
        <v>0</v>
      </c>
      <c r="CM36" s="177">
        <v>0</v>
      </c>
      <c r="CN36" s="177">
        <v>0</v>
      </c>
      <c r="CO36" s="177">
        <v>0</v>
      </c>
      <c r="CP36" s="177">
        <v>0</v>
      </c>
      <c r="CQ36" s="177">
        <v>0</v>
      </c>
      <c r="CR36" s="177">
        <v>0</v>
      </c>
      <c r="CS36" s="177">
        <v>0</v>
      </c>
      <c r="CT36" s="177">
        <v>0</v>
      </c>
      <c r="CU36" s="177">
        <v>0</v>
      </c>
      <c r="CV36" s="177">
        <v>0</v>
      </c>
      <c r="CW36" s="177">
        <v>0</v>
      </c>
      <c r="CX36" s="177">
        <v>0</v>
      </c>
      <c r="CY36" s="177">
        <v>0</v>
      </c>
      <c r="CZ36" s="177">
        <v>0</v>
      </c>
    </row>
    <row r="37" spans="1:104" x14ac:dyDescent="0.2">
      <c r="C37" t="s">
        <v>182</v>
      </c>
      <c r="D37" s="177">
        <v>0</v>
      </c>
      <c r="E37" s="181">
        <v>0</v>
      </c>
      <c r="F37" s="177">
        <v>0</v>
      </c>
      <c r="G37" s="177">
        <v>0</v>
      </c>
      <c r="H37" s="177">
        <v>0</v>
      </c>
      <c r="I37" s="177">
        <v>0</v>
      </c>
      <c r="J37" s="177">
        <v>0</v>
      </c>
      <c r="K37" s="177">
        <v>0</v>
      </c>
      <c r="L37" s="177">
        <v>0</v>
      </c>
      <c r="M37" s="177">
        <v>0</v>
      </c>
      <c r="N37" s="177">
        <v>0</v>
      </c>
      <c r="O37" s="177">
        <v>0</v>
      </c>
      <c r="P37" s="177">
        <v>0</v>
      </c>
      <c r="Q37" s="177">
        <v>0</v>
      </c>
      <c r="R37" s="177">
        <v>0</v>
      </c>
      <c r="S37" s="177">
        <v>0</v>
      </c>
      <c r="T37" s="177">
        <v>0</v>
      </c>
      <c r="U37" s="177">
        <v>0</v>
      </c>
      <c r="V37" s="177">
        <v>0</v>
      </c>
      <c r="W37" s="177">
        <v>0</v>
      </c>
      <c r="X37" s="177">
        <v>0</v>
      </c>
      <c r="Y37" s="177">
        <v>0</v>
      </c>
      <c r="Z37" s="177">
        <v>0</v>
      </c>
      <c r="AA37" s="177">
        <v>0</v>
      </c>
      <c r="AB37" s="177">
        <v>0</v>
      </c>
      <c r="AC37" s="177">
        <v>0</v>
      </c>
      <c r="AD37" s="177">
        <v>0</v>
      </c>
      <c r="AE37" s="177">
        <v>0</v>
      </c>
      <c r="AF37" s="177">
        <v>0</v>
      </c>
      <c r="AG37" s="177">
        <v>0</v>
      </c>
      <c r="AH37" s="177">
        <v>0</v>
      </c>
      <c r="AI37" s="177">
        <v>0</v>
      </c>
      <c r="AJ37" s="177">
        <v>0</v>
      </c>
      <c r="AK37" s="177">
        <v>0</v>
      </c>
      <c r="AL37" s="177">
        <v>0</v>
      </c>
      <c r="AM37" s="177">
        <v>0</v>
      </c>
      <c r="AN37" s="177">
        <v>0</v>
      </c>
      <c r="AO37" s="177">
        <v>0</v>
      </c>
      <c r="AP37" s="177">
        <v>0</v>
      </c>
      <c r="AQ37" s="177">
        <v>0</v>
      </c>
      <c r="AR37" s="177">
        <v>0</v>
      </c>
      <c r="AS37" s="177">
        <v>0</v>
      </c>
      <c r="AT37" s="177">
        <v>0</v>
      </c>
      <c r="AU37" s="177">
        <v>0</v>
      </c>
      <c r="AV37" s="177">
        <v>0</v>
      </c>
      <c r="AW37" s="177">
        <v>0</v>
      </c>
      <c r="AX37" s="177">
        <v>0</v>
      </c>
      <c r="AY37" s="177">
        <v>0</v>
      </c>
      <c r="AZ37" s="177">
        <v>0</v>
      </c>
      <c r="BA37" s="177">
        <v>0</v>
      </c>
      <c r="BB37" s="177">
        <v>0</v>
      </c>
      <c r="BC37" s="177">
        <v>0</v>
      </c>
      <c r="BD37" s="177">
        <v>0</v>
      </c>
      <c r="BE37" s="177">
        <v>0</v>
      </c>
      <c r="BF37" s="177">
        <v>0</v>
      </c>
      <c r="BG37" s="177">
        <v>0</v>
      </c>
      <c r="BH37" s="177">
        <v>0</v>
      </c>
      <c r="BI37" s="177">
        <v>0</v>
      </c>
      <c r="BJ37" s="177">
        <v>0</v>
      </c>
      <c r="BK37" s="177">
        <v>0</v>
      </c>
      <c r="BL37" s="177">
        <v>0</v>
      </c>
      <c r="BM37" s="177">
        <v>0</v>
      </c>
      <c r="BN37" s="177">
        <v>0</v>
      </c>
      <c r="BO37" s="177">
        <v>0</v>
      </c>
      <c r="BP37" s="177">
        <v>0</v>
      </c>
      <c r="BQ37" s="177">
        <v>0</v>
      </c>
      <c r="BR37" s="177">
        <v>0</v>
      </c>
      <c r="BS37" s="177">
        <v>0</v>
      </c>
      <c r="BT37" s="177">
        <v>0</v>
      </c>
      <c r="BU37" s="177">
        <v>0</v>
      </c>
      <c r="BV37" s="177">
        <v>0</v>
      </c>
      <c r="BW37" s="177">
        <v>0</v>
      </c>
      <c r="BX37" s="177">
        <v>0</v>
      </c>
      <c r="BY37" s="177">
        <v>0</v>
      </c>
      <c r="BZ37" s="177">
        <v>0</v>
      </c>
      <c r="CA37" s="177">
        <v>0</v>
      </c>
      <c r="CB37" s="177">
        <v>0</v>
      </c>
      <c r="CC37" s="177">
        <v>0</v>
      </c>
      <c r="CD37" s="177">
        <v>0</v>
      </c>
      <c r="CE37" s="177">
        <v>0</v>
      </c>
      <c r="CF37" s="177">
        <v>0</v>
      </c>
      <c r="CG37" s="177">
        <v>0</v>
      </c>
      <c r="CH37" s="177">
        <v>0</v>
      </c>
      <c r="CI37" s="177">
        <v>0</v>
      </c>
      <c r="CJ37" s="177">
        <v>0</v>
      </c>
      <c r="CK37" s="177">
        <v>0</v>
      </c>
      <c r="CL37" s="177">
        <v>0</v>
      </c>
      <c r="CM37" s="177">
        <v>0</v>
      </c>
      <c r="CN37" s="177">
        <v>0</v>
      </c>
      <c r="CO37" s="177">
        <v>0</v>
      </c>
      <c r="CP37" s="177">
        <v>0</v>
      </c>
      <c r="CQ37" s="177">
        <v>0</v>
      </c>
      <c r="CR37" s="177">
        <v>0</v>
      </c>
      <c r="CS37" s="177">
        <v>0</v>
      </c>
      <c r="CT37" s="177">
        <v>0</v>
      </c>
      <c r="CU37" s="177">
        <v>0</v>
      </c>
      <c r="CV37" s="177">
        <v>0</v>
      </c>
      <c r="CW37" s="177">
        <v>0</v>
      </c>
      <c r="CX37" s="177">
        <v>0</v>
      </c>
      <c r="CY37" s="177">
        <v>0</v>
      </c>
      <c r="CZ37" s="177">
        <v>0</v>
      </c>
    </row>
    <row r="38" spans="1:104" x14ac:dyDescent="0.2">
      <c r="C38" t="s">
        <v>183</v>
      </c>
      <c r="D38" s="177">
        <v>9.0500000000000007</v>
      </c>
      <c r="E38" s="180">
        <v>10</v>
      </c>
      <c r="F38">
        <v>11</v>
      </c>
      <c r="G38">
        <v>10</v>
      </c>
      <c r="H38">
        <v>5</v>
      </c>
      <c r="I38">
        <v>5</v>
      </c>
      <c r="J38">
        <v>9</v>
      </c>
      <c r="K38">
        <v>11</v>
      </c>
      <c r="L38">
        <v>9</v>
      </c>
      <c r="M38">
        <v>7</v>
      </c>
      <c r="N38">
        <v>9</v>
      </c>
      <c r="O38">
        <v>8</v>
      </c>
      <c r="P38">
        <v>10</v>
      </c>
      <c r="Q38">
        <v>9</v>
      </c>
      <c r="R38">
        <v>9</v>
      </c>
      <c r="S38">
        <v>9</v>
      </c>
      <c r="T38">
        <v>13</v>
      </c>
      <c r="U38">
        <v>5</v>
      </c>
      <c r="V38">
        <v>7</v>
      </c>
      <c r="W38">
        <v>10</v>
      </c>
      <c r="X38">
        <v>14</v>
      </c>
      <c r="Y38">
        <v>11</v>
      </c>
      <c r="Z38">
        <v>5</v>
      </c>
      <c r="AA38">
        <v>8</v>
      </c>
      <c r="AB38">
        <v>10</v>
      </c>
      <c r="AC38">
        <v>13</v>
      </c>
      <c r="AD38">
        <v>11</v>
      </c>
      <c r="AE38">
        <v>9</v>
      </c>
      <c r="AF38">
        <v>12</v>
      </c>
      <c r="AG38">
        <v>13</v>
      </c>
      <c r="AH38">
        <v>9</v>
      </c>
      <c r="AI38">
        <v>10</v>
      </c>
      <c r="AJ38">
        <v>8</v>
      </c>
      <c r="AK38">
        <v>7</v>
      </c>
      <c r="AL38">
        <v>6</v>
      </c>
      <c r="AM38">
        <v>14</v>
      </c>
      <c r="AN38">
        <v>14</v>
      </c>
      <c r="AO38">
        <v>14</v>
      </c>
      <c r="AP38">
        <v>12</v>
      </c>
      <c r="AQ38">
        <v>7</v>
      </c>
      <c r="AR38">
        <v>10</v>
      </c>
      <c r="AS38">
        <v>7</v>
      </c>
      <c r="AT38">
        <v>9</v>
      </c>
      <c r="AU38">
        <v>7</v>
      </c>
      <c r="AV38">
        <v>9</v>
      </c>
      <c r="AW38">
        <v>13</v>
      </c>
      <c r="AX38">
        <v>5</v>
      </c>
      <c r="AY38">
        <v>8</v>
      </c>
      <c r="AZ38">
        <v>7</v>
      </c>
      <c r="BA38">
        <v>8</v>
      </c>
      <c r="BB38">
        <v>6</v>
      </c>
      <c r="BC38">
        <v>11</v>
      </c>
      <c r="BD38">
        <v>7</v>
      </c>
      <c r="BE38">
        <v>9</v>
      </c>
      <c r="BF38">
        <v>11</v>
      </c>
      <c r="BG38">
        <v>9</v>
      </c>
      <c r="BH38">
        <v>14</v>
      </c>
      <c r="BI38">
        <v>8</v>
      </c>
      <c r="BJ38">
        <v>5</v>
      </c>
      <c r="BK38">
        <v>15</v>
      </c>
      <c r="BL38">
        <v>8</v>
      </c>
      <c r="BM38">
        <v>11</v>
      </c>
      <c r="BN38">
        <v>11</v>
      </c>
      <c r="BO38">
        <v>8</v>
      </c>
      <c r="BP38">
        <v>4</v>
      </c>
      <c r="BQ38">
        <v>9</v>
      </c>
      <c r="BR38">
        <v>13</v>
      </c>
      <c r="BS38">
        <v>8</v>
      </c>
      <c r="BT38">
        <v>8</v>
      </c>
      <c r="BU38">
        <v>13</v>
      </c>
      <c r="BV38">
        <v>12</v>
      </c>
      <c r="BW38">
        <v>11</v>
      </c>
      <c r="BX38">
        <v>10</v>
      </c>
      <c r="BY38">
        <v>7</v>
      </c>
      <c r="BZ38">
        <v>5</v>
      </c>
      <c r="CA38">
        <v>12</v>
      </c>
      <c r="CB38">
        <v>10</v>
      </c>
      <c r="CC38">
        <v>6</v>
      </c>
      <c r="CD38">
        <v>11</v>
      </c>
      <c r="CE38">
        <v>10</v>
      </c>
      <c r="CF38">
        <v>9</v>
      </c>
      <c r="CG38">
        <v>12</v>
      </c>
      <c r="CH38">
        <v>7</v>
      </c>
      <c r="CI38">
        <v>10</v>
      </c>
      <c r="CJ38">
        <v>8</v>
      </c>
      <c r="CK38">
        <v>8</v>
      </c>
      <c r="CL38">
        <v>9</v>
      </c>
      <c r="CM38">
        <v>6</v>
      </c>
      <c r="CN38">
        <v>7</v>
      </c>
      <c r="CO38">
        <v>5</v>
      </c>
      <c r="CP38">
        <v>5</v>
      </c>
      <c r="CQ38">
        <v>8</v>
      </c>
      <c r="CR38">
        <v>3</v>
      </c>
      <c r="CS38">
        <v>10</v>
      </c>
      <c r="CT38">
        <v>9</v>
      </c>
      <c r="CU38">
        <v>9</v>
      </c>
      <c r="CV38">
        <v>11</v>
      </c>
      <c r="CW38">
        <v>8</v>
      </c>
      <c r="CX38">
        <v>8</v>
      </c>
      <c r="CY38">
        <v>6</v>
      </c>
      <c r="CZ38">
        <v>9</v>
      </c>
    </row>
    <row r="39" spans="1:104" x14ac:dyDescent="0.2">
      <c r="C39" t="s">
        <v>184</v>
      </c>
      <c r="D39" s="177">
        <v>0.36823992152007662</v>
      </c>
      <c r="E39" s="181">
        <v>0.39714020854793292</v>
      </c>
      <c r="F39" s="177">
        <v>0.5154938129732376</v>
      </c>
      <c r="G39" s="177">
        <v>0.39427308546793421</v>
      </c>
      <c r="H39" s="177">
        <v>0.19207729767427006</v>
      </c>
      <c r="I39" s="177">
        <v>0.20886099344869472</v>
      </c>
      <c r="J39" s="177">
        <v>0.35359599720177864</v>
      </c>
      <c r="K39" s="177">
        <v>0.48912815561112405</v>
      </c>
      <c r="L39" s="177">
        <v>0.42986003754856106</v>
      </c>
      <c r="M39" s="177">
        <v>0.29734568901003533</v>
      </c>
      <c r="N39" s="177">
        <v>0.38239649331727776</v>
      </c>
      <c r="O39" s="177">
        <v>0.28532195362396551</v>
      </c>
      <c r="P39" s="177">
        <v>0.39647300221574028</v>
      </c>
      <c r="Q39" s="177">
        <v>0.34495706893585731</v>
      </c>
      <c r="R39" s="177">
        <v>0.36203284828357596</v>
      </c>
      <c r="S39" s="177">
        <v>0.39757161038633371</v>
      </c>
      <c r="T39" s="177">
        <v>0.55630800925347546</v>
      </c>
      <c r="U39" s="177">
        <v>0.22434828330879977</v>
      </c>
      <c r="V39" s="177">
        <v>0.27678358391395258</v>
      </c>
      <c r="W39" s="177">
        <v>0.38255928429863234</v>
      </c>
      <c r="X39" s="177">
        <v>0.54738926114204789</v>
      </c>
      <c r="Y39" s="177">
        <v>0.4293291870609372</v>
      </c>
      <c r="Z39" s="177">
        <v>0.21490433908597256</v>
      </c>
      <c r="AA39" s="177">
        <v>0.28292826115408726</v>
      </c>
      <c r="AB39" s="177">
        <v>0.44844081262706492</v>
      </c>
      <c r="AC39" s="177">
        <v>0.56643123187793776</v>
      </c>
      <c r="AD39" s="177">
        <v>0.45467868460232991</v>
      </c>
      <c r="AE39" s="177">
        <v>0.34640635898614042</v>
      </c>
      <c r="AF39" s="177">
        <v>0.4791470145203055</v>
      </c>
      <c r="AG39" s="177">
        <v>0.56476821373765207</v>
      </c>
      <c r="AH39" s="177">
        <v>0.31564564972147363</v>
      </c>
      <c r="AI39" s="177">
        <v>0.33910641434924688</v>
      </c>
      <c r="AJ39" s="177">
        <v>0.33278769885520693</v>
      </c>
      <c r="AK39" s="177">
        <v>0.27053770112982606</v>
      </c>
      <c r="AL39" s="177">
        <v>0.22043420403241468</v>
      </c>
      <c r="AM39" s="177">
        <v>0.60821573910768312</v>
      </c>
      <c r="AN39" s="177">
        <v>0.57145296496950782</v>
      </c>
      <c r="AO39" s="177">
        <v>0.52358425708353329</v>
      </c>
      <c r="AP39" s="177">
        <v>0.48581836156754765</v>
      </c>
      <c r="AQ39" s="177">
        <v>0.25835082958172684</v>
      </c>
      <c r="AR39" s="177">
        <v>0.44008301724814608</v>
      </c>
      <c r="AS39" s="177">
        <v>0.2903950129647308</v>
      </c>
      <c r="AT39" s="177">
        <v>0.3920299365890012</v>
      </c>
      <c r="AU39" s="177">
        <v>0.30029043208095013</v>
      </c>
      <c r="AV39" s="177">
        <v>0.38639607490826416</v>
      </c>
      <c r="AW39" s="177">
        <v>0.49217498814770411</v>
      </c>
      <c r="AX39" s="177">
        <v>0.18460836918792692</v>
      </c>
      <c r="AY39" s="177">
        <v>0.3248981141867518</v>
      </c>
      <c r="AZ39" s="177">
        <v>0.2892276381758922</v>
      </c>
      <c r="BA39" s="177">
        <v>0.35418033771706525</v>
      </c>
      <c r="BB39" s="177">
        <v>0.2170222009545508</v>
      </c>
      <c r="BC39" s="177">
        <v>0.43876950689917688</v>
      </c>
      <c r="BD39" s="177">
        <v>0.27506753364419401</v>
      </c>
      <c r="BE39" s="177">
        <v>0.39611848333429028</v>
      </c>
      <c r="BF39" s="177">
        <v>0.4584356797352418</v>
      </c>
      <c r="BG39" s="177">
        <v>0.39476296785849396</v>
      </c>
      <c r="BH39" s="177">
        <v>0.47019868965200018</v>
      </c>
      <c r="BI39" s="177">
        <v>0.30841233753660535</v>
      </c>
      <c r="BJ39" s="177">
        <v>0.1938216864214751</v>
      </c>
      <c r="BK39" s="177">
        <v>0.63713683159286494</v>
      </c>
      <c r="BL39" s="177">
        <v>0.35382907148645931</v>
      </c>
      <c r="BM39" s="177">
        <v>0.48574913384388813</v>
      </c>
      <c r="BN39" s="177">
        <v>0.49553959422691257</v>
      </c>
      <c r="BO39" s="177">
        <v>0.26404534783401268</v>
      </c>
      <c r="BP39" s="177">
        <v>0.15069300106450054</v>
      </c>
      <c r="BQ39" s="177">
        <v>0.38828547734269897</v>
      </c>
      <c r="BR39" s="177">
        <v>0.49064015776208064</v>
      </c>
      <c r="BS39" s="177">
        <v>0.31210134823444163</v>
      </c>
      <c r="BT39" s="177">
        <v>0.33829708108920886</v>
      </c>
      <c r="BU39" s="177">
        <v>0.50976130095623207</v>
      </c>
      <c r="BV39" s="177">
        <v>0.49070102831986684</v>
      </c>
      <c r="BW39" s="177">
        <v>0.44315479345399678</v>
      </c>
      <c r="BX39" s="177">
        <v>0.36643557490087542</v>
      </c>
      <c r="BY39" s="177">
        <v>0.28649025613264562</v>
      </c>
      <c r="BZ39" s="177">
        <v>0.21112532775716952</v>
      </c>
      <c r="CA39" s="177">
        <v>0.51235559528087105</v>
      </c>
      <c r="CB39" s="177">
        <v>0.46667814471743652</v>
      </c>
      <c r="CC39" s="177">
        <v>0.24979472925988128</v>
      </c>
      <c r="CD39" s="177">
        <v>0.36028686322225312</v>
      </c>
      <c r="CE39" s="177">
        <v>0.41490238642007549</v>
      </c>
      <c r="CF39" s="177">
        <v>0.36102509972471442</v>
      </c>
      <c r="CG39" s="177">
        <v>0.53809959916901218</v>
      </c>
      <c r="CH39" s="177">
        <v>0.24302436209669306</v>
      </c>
      <c r="CI39" s="177">
        <v>0.41635420647571025</v>
      </c>
      <c r="CJ39" s="177">
        <v>0.31687860541731855</v>
      </c>
      <c r="CK39" s="177">
        <v>0.29981321719639725</v>
      </c>
      <c r="CL39" s="177">
        <v>0.37970950226081024</v>
      </c>
      <c r="CM39" s="177">
        <v>0.26829795216528868</v>
      </c>
      <c r="CN39" s="177">
        <v>0.3177650627338382</v>
      </c>
      <c r="CO39" s="177">
        <v>0.21169662310439552</v>
      </c>
      <c r="CP39" s="177">
        <v>0.23112646553187291</v>
      </c>
      <c r="CQ39" s="177">
        <v>0.33025671429739262</v>
      </c>
      <c r="CR39" s="177">
        <v>9.3501762685348114E-2</v>
      </c>
      <c r="CS39" s="177">
        <v>0.41501124869863226</v>
      </c>
      <c r="CT39" s="177">
        <v>0.38590717131886682</v>
      </c>
      <c r="CU39" s="177">
        <v>0.35770696209857811</v>
      </c>
      <c r="CV39" s="177">
        <v>0.44297917050359376</v>
      </c>
      <c r="CW39" s="177">
        <v>0.28402902129538338</v>
      </c>
      <c r="CX39" s="177">
        <v>0.33077908147685758</v>
      </c>
      <c r="CY39" s="177">
        <v>0.24506662859554412</v>
      </c>
      <c r="CZ39" s="177">
        <v>0.37318304280677045</v>
      </c>
    </row>
    <row r="40" spans="1:104" x14ac:dyDescent="0.2">
      <c r="C40" t="s">
        <v>185</v>
      </c>
      <c r="D40" s="177">
        <v>0</v>
      </c>
      <c r="E40" s="181">
        <v>0</v>
      </c>
      <c r="F40" s="177">
        <v>0</v>
      </c>
      <c r="G40" s="177">
        <v>0</v>
      </c>
      <c r="H40" s="177">
        <v>0</v>
      </c>
      <c r="I40" s="177">
        <v>0</v>
      </c>
      <c r="J40" s="177">
        <v>0</v>
      </c>
      <c r="K40" s="177">
        <v>0</v>
      </c>
      <c r="L40" s="177">
        <v>0</v>
      </c>
      <c r="M40" s="177">
        <v>0</v>
      </c>
      <c r="N40" s="177">
        <v>0</v>
      </c>
      <c r="O40" s="177">
        <v>0</v>
      </c>
      <c r="P40" s="177">
        <v>0</v>
      </c>
      <c r="Q40" s="177">
        <v>0</v>
      </c>
      <c r="R40" s="177">
        <v>0</v>
      </c>
      <c r="S40" s="177">
        <v>0</v>
      </c>
      <c r="T40" s="177">
        <v>0</v>
      </c>
      <c r="U40" s="177">
        <v>0</v>
      </c>
      <c r="V40" s="177">
        <v>0</v>
      </c>
      <c r="W40" s="177">
        <v>0</v>
      </c>
      <c r="X40" s="177">
        <v>0</v>
      </c>
      <c r="Y40" s="177">
        <v>0</v>
      </c>
      <c r="Z40" s="177">
        <v>0</v>
      </c>
      <c r="AA40" s="177">
        <v>0</v>
      </c>
      <c r="AB40" s="177">
        <v>0</v>
      </c>
      <c r="AC40" s="177">
        <v>0</v>
      </c>
      <c r="AD40" s="177">
        <v>0</v>
      </c>
      <c r="AE40" s="177">
        <v>0</v>
      </c>
      <c r="AF40" s="177">
        <v>0</v>
      </c>
      <c r="AG40" s="177">
        <v>0</v>
      </c>
      <c r="AH40" s="177">
        <v>0</v>
      </c>
      <c r="AI40" s="177">
        <v>0</v>
      </c>
      <c r="AJ40" s="177">
        <v>0</v>
      </c>
      <c r="AK40" s="177">
        <v>0</v>
      </c>
      <c r="AL40" s="177">
        <v>0</v>
      </c>
      <c r="AM40" s="177">
        <v>0</v>
      </c>
      <c r="AN40" s="177">
        <v>0</v>
      </c>
      <c r="AO40" s="177">
        <v>0</v>
      </c>
      <c r="AP40" s="177">
        <v>0</v>
      </c>
      <c r="AQ40" s="177">
        <v>0</v>
      </c>
      <c r="AR40" s="177">
        <v>0</v>
      </c>
      <c r="AS40" s="177">
        <v>0</v>
      </c>
      <c r="AT40" s="177">
        <v>0</v>
      </c>
      <c r="AU40" s="177">
        <v>0</v>
      </c>
      <c r="AV40" s="177">
        <v>0</v>
      </c>
      <c r="AW40" s="177">
        <v>0</v>
      </c>
      <c r="AX40" s="177">
        <v>0</v>
      </c>
      <c r="AY40" s="177">
        <v>0</v>
      </c>
      <c r="AZ40" s="177">
        <v>0</v>
      </c>
      <c r="BA40" s="177">
        <v>0</v>
      </c>
      <c r="BB40" s="177">
        <v>0</v>
      </c>
      <c r="BC40" s="177">
        <v>0</v>
      </c>
      <c r="BD40" s="177">
        <v>0</v>
      </c>
      <c r="BE40" s="177">
        <v>0</v>
      </c>
      <c r="BF40" s="177">
        <v>0</v>
      </c>
      <c r="BG40" s="177">
        <v>0</v>
      </c>
      <c r="BH40" s="177">
        <v>0</v>
      </c>
      <c r="BI40" s="177">
        <v>0</v>
      </c>
      <c r="BJ40" s="177">
        <v>0</v>
      </c>
      <c r="BK40" s="177">
        <v>0</v>
      </c>
      <c r="BL40" s="177">
        <v>0</v>
      </c>
      <c r="BM40" s="177">
        <v>0</v>
      </c>
      <c r="BN40" s="177">
        <v>0</v>
      </c>
      <c r="BO40" s="177">
        <v>0</v>
      </c>
      <c r="BP40" s="177">
        <v>0</v>
      </c>
      <c r="BQ40" s="177">
        <v>0</v>
      </c>
      <c r="BR40" s="177">
        <v>0</v>
      </c>
      <c r="BS40" s="177">
        <v>0</v>
      </c>
      <c r="BT40" s="177">
        <v>0</v>
      </c>
      <c r="BU40" s="177">
        <v>0</v>
      </c>
      <c r="BV40" s="177">
        <v>0</v>
      </c>
      <c r="BW40" s="177">
        <v>0</v>
      </c>
      <c r="BX40" s="177">
        <v>0</v>
      </c>
      <c r="BY40" s="177">
        <v>0</v>
      </c>
      <c r="BZ40" s="177">
        <v>0</v>
      </c>
      <c r="CA40" s="177">
        <v>0</v>
      </c>
      <c r="CB40" s="177">
        <v>0</v>
      </c>
      <c r="CC40" s="177">
        <v>0</v>
      </c>
      <c r="CD40" s="177">
        <v>0</v>
      </c>
      <c r="CE40" s="177">
        <v>0</v>
      </c>
      <c r="CF40" s="177">
        <v>0</v>
      </c>
      <c r="CG40" s="177">
        <v>0</v>
      </c>
      <c r="CH40" s="177">
        <v>0</v>
      </c>
      <c r="CI40" s="177">
        <v>0</v>
      </c>
      <c r="CJ40" s="177">
        <v>0</v>
      </c>
      <c r="CK40" s="177">
        <v>0</v>
      </c>
      <c r="CL40" s="177">
        <v>0</v>
      </c>
      <c r="CM40" s="177">
        <v>0</v>
      </c>
      <c r="CN40" s="177">
        <v>0</v>
      </c>
      <c r="CO40" s="177">
        <v>0</v>
      </c>
      <c r="CP40" s="177">
        <v>0</v>
      </c>
      <c r="CQ40" s="177">
        <v>0</v>
      </c>
      <c r="CR40" s="177">
        <v>0</v>
      </c>
      <c r="CS40" s="177">
        <v>0</v>
      </c>
      <c r="CT40" s="177">
        <v>0</v>
      </c>
      <c r="CU40" s="177">
        <v>0</v>
      </c>
      <c r="CV40" s="177">
        <v>0</v>
      </c>
      <c r="CW40" s="177">
        <v>0</v>
      </c>
      <c r="CX40" s="177">
        <v>0</v>
      </c>
      <c r="CY40" s="177">
        <v>0</v>
      </c>
      <c r="CZ40" s="177">
        <v>0</v>
      </c>
    </row>
    <row r="41" spans="1:104" x14ac:dyDescent="0.2">
      <c r="E41" s="180"/>
    </row>
    <row r="42" spans="1:104" x14ac:dyDescent="0.2">
      <c r="A42" t="s">
        <v>186</v>
      </c>
      <c r="B42" t="s">
        <v>163</v>
      </c>
      <c r="C42" t="s">
        <v>187</v>
      </c>
      <c r="D42" s="177">
        <v>227.97</v>
      </c>
      <c r="E42" s="180">
        <v>235</v>
      </c>
      <c r="F42">
        <v>225</v>
      </c>
      <c r="G42">
        <v>241</v>
      </c>
      <c r="H42">
        <v>234</v>
      </c>
      <c r="I42">
        <v>229</v>
      </c>
      <c r="J42">
        <v>219</v>
      </c>
      <c r="K42">
        <v>221</v>
      </c>
      <c r="L42">
        <v>228</v>
      </c>
      <c r="M42">
        <v>236</v>
      </c>
      <c r="N42">
        <v>228</v>
      </c>
      <c r="O42">
        <v>228</v>
      </c>
      <c r="P42">
        <v>236</v>
      </c>
      <c r="Q42">
        <v>224</v>
      </c>
      <c r="R42">
        <v>222</v>
      </c>
      <c r="S42">
        <v>222</v>
      </c>
      <c r="T42">
        <v>231</v>
      </c>
      <c r="U42">
        <v>230</v>
      </c>
      <c r="V42">
        <v>234</v>
      </c>
      <c r="W42">
        <v>235</v>
      </c>
      <c r="X42">
        <v>237</v>
      </c>
      <c r="Y42">
        <v>222</v>
      </c>
      <c r="Z42">
        <v>233</v>
      </c>
      <c r="AA42">
        <v>240</v>
      </c>
      <c r="AB42">
        <v>233</v>
      </c>
      <c r="AC42">
        <v>236</v>
      </c>
      <c r="AD42">
        <v>226</v>
      </c>
      <c r="AE42">
        <v>239</v>
      </c>
      <c r="AF42">
        <v>239</v>
      </c>
      <c r="AG42">
        <v>225</v>
      </c>
      <c r="AH42">
        <v>218</v>
      </c>
      <c r="AI42">
        <v>233</v>
      </c>
      <c r="AJ42">
        <v>228</v>
      </c>
      <c r="AK42">
        <v>229</v>
      </c>
      <c r="AL42">
        <v>230</v>
      </c>
      <c r="AM42">
        <v>237</v>
      </c>
      <c r="AN42">
        <v>232</v>
      </c>
      <c r="AO42">
        <v>235</v>
      </c>
      <c r="AP42">
        <v>233</v>
      </c>
      <c r="AQ42">
        <v>228</v>
      </c>
      <c r="AR42">
        <v>241</v>
      </c>
      <c r="AS42">
        <v>207</v>
      </c>
      <c r="AT42">
        <v>214</v>
      </c>
      <c r="AU42">
        <v>239</v>
      </c>
      <c r="AV42">
        <v>225</v>
      </c>
      <c r="AW42">
        <v>240</v>
      </c>
      <c r="AX42">
        <v>217</v>
      </c>
      <c r="AY42">
        <v>232</v>
      </c>
      <c r="AZ42">
        <v>209</v>
      </c>
      <c r="BA42">
        <v>231</v>
      </c>
      <c r="BB42">
        <v>224</v>
      </c>
      <c r="BC42">
        <v>191</v>
      </c>
      <c r="BD42">
        <v>224</v>
      </c>
      <c r="BE42">
        <v>231</v>
      </c>
      <c r="BF42">
        <v>228</v>
      </c>
      <c r="BG42">
        <v>226</v>
      </c>
      <c r="BH42">
        <v>236</v>
      </c>
      <c r="BI42">
        <v>239</v>
      </c>
      <c r="BJ42">
        <v>228</v>
      </c>
      <c r="BK42">
        <v>240</v>
      </c>
      <c r="BL42">
        <v>232</v>
      </c>
      <c r="BM42">
        <v>216</v>
      </c>
      <c r="BN42">
        <v>219</v>
      </c>
      <c r="BO42">
        <v>211</v>
      </c>
      <c r="BP42">
        <v>215</v>
      </c>
      <c r="BQ42">
        <v>216</v>
      </c>
      <c r="BR42">
        <v>216</v>
      </c>
      <c r="BS42">
        <v>228</v>
      </c>
      <c r="BT42">
        <v>231</v>
      </c>
      <c r="BU42">
        <v>234</v>
      </c>
      <c r="BV42">
        <v>234</v>
      </c>
      <c r="BW42">
        <v>222</v>
      </c>
      <c r="BX42">
        <v>239</v>
      </c>
      <c r="BY42">
        <v>225</v>
      </c>
      <c r="BZ42">
        <v>224</v>
      </c>
      <c r="CA42">
        <v>231</v>
      </c>
      <c r="CB42">
        <v>235</v>
      </c>
      <c r="CC42">
        <v>221</v>
      </c>
      <c r="CD42">
        <v>235</v>
      </c>
      <c r="CE42">
        <v>234</v>
      </c>
      <c r="CF42">
        <v>232</v>
      </c>
      <c r="CG42">
        <v>232</v>
      </c>
      <c r="CH42">
        <v>228</v>
      </c>
      <c r="CI42">
        <v>238</v>
      </c>
      <c r="CJ42">
        <v>238</v>
      </c>
      <c r="CK42">
        <v>218</v>
      </c>
      <c r="CL42">
        <v>213</v>
      </c>
      <c r="CM42">
        <v>228</v>
      </c>
      <c r="CN42">
        <v>221</v>
      </c>
      <c r="CO42">
        <v>224</v>
      </c>
      <c r="CP42">
        <v>229</v>
      </c>
      <c r="CQ42">
        <v>233</v>
      </c>
      <c r="CR42">
        <v>208</v>
      </c>
      <c r="CS42">
        <v>232</v>
      </c>
      <c r="CT42">
        <v>231</v>
      </c>
      <c r="CU42">
        <v>232</v>
      </c>
      <c r="CV42">
        <v>234</v>
      </c>
      <c r="CW42">
        <v>235</v>
      </c>
      <c r="CX42">
        <v>195</v>
      </c>
      <c r="CY42">
        <v>231</v>
      </c>
      <c r="CZ42">
        <v>234</v>
      </c>
    </row>
    <row r="43" spans="1:104" x14ac:dyDescent="0.2">
      <c r="C43" t="s">
        <v>188</v>
      </c>
      <c r="D43" s="177">
        <v>10.83</v>
      </c>
      <c r="E43" s="180">
        <v>13</v>
      </c>
      <c r="F43">
        <v>20</v>
      </c>
      <c r="G43">
        <v>8</v>
      </c>
      <c r="H43">
        <v>0</v>
      </c>
      <c r="I43">
        <v>22</v>
      </c>
      <c r="J43">
        <v>1</v>
      </c>
      <c r="K43">
        <v>5</v>
      </c>
      <c r="L43">
        <v>5</v>
      </c>
      <c r="M43">
        <v>33</v>
      </c>
      <c r="N43">
        <v>2</v>
      </c>
      <c r="O43">
        <v>19</v>
      </c>
      <c r="P43">
        <v>5</v>
      </c>
      <c r="Q43">
        <v>0</v>
      </c>
      <c r="R43">
        <v>3</v>
      </c>
      <c r="S43">
        <v>3</v>
      </c>
      <c r="T43">
        <v>1</v>
      </c>
      <c r="U43">
        <v>6</v>
      </c>
      <c r="V43">
        <v>14</v>
      </c>
      <c r="W43">
        <v>22</v>
      </c>
      <c r="X43">
        <v>16</v>
      </c>
      <c r="Y43">
        <v>8</v>
      </c>
      <c r="Z43">
        <v>9</v>
      </c>
      <c r="AA43">
        <v>22</v>
      </c>
      <c r="AB43">
        <v>14</v>
      </c>
      <c r="AC43">
        <v>14</v>
      </c>
      <c r="AD43">
        <v>12</v>
      </c>
      <c r="AE43">
        <v>4</v>
      </c>
      <c r="AF43">
        <v>9</v>
      </c>
      <c r="AG43">
        <v>0</v>
      </c>
      <c r="AH43">
        <v>10</v>
      </c>
      <c r="AI43">
        <v>45</v>
      </c>
      <c r="AJ43">
        <v>8</v>
      </c>
      <c r="AK43">
        <v>7</v>
      </c>
      <c r="AL43">
        <v>22</v>
      </c>
      <c r="AM43">
        <v>14</v>
      </c>
      <c r="AN43">
        <v>9</v>
      </c>
      <c r="AO43">
        <v>4</v>
      </c>
      <c r="AP43">
        <v>18</v>
      </c>
      <c r="AQ43">
        <v>5</v>
      </c>
      <c r="AR43">
        <v>16</v>
      </c>
      <c r="AS43">
        <v>0</v>
      </c>
      <c r="AT43">
        <v>12</v>
      </c>
      <c r="AU43">
        <v>23</v>
      </c>
      <c r="AV43">
        <v>20</v>
      </c>
      <c r="AW43">
        <v>26</v>
      </c>
      <c r="AX43">
        <v>1</v>
      </c>
      <c r="AY43">
        <v>20</v>
      </c>
      <c r="AZ43">
        <v>2</v>
      </c>
      <c r="BA43">
        <v>13</v>
      </c>
      <c r="BB43">
        <v>15</v>
      </c>
      <c r="BC43">
        <v>1</v>
      </c>
      <c r="BD43">
        <v>19</v>
      </c>
      <c r="BE43">
        <v>22</v>
      </c>
      <c r="BF43">
        <v>17</v>
      </c>
      <c r="BG43">
        <v>0</v>
      </c>
      <c r="BH43">
        <v>13</v>
      </c>
      <c r="BI43">
        <v>4</v>
      </c>
      <c r="BJ43">
        <v>9</v>
      </c>
      <c r="BK43">
        <v>32</v>
      </c>
      <c r="BL43">
        <v>45</v>
      </c>
      <c r="BM43">
        <v>1</v>
      </c>
      <c r="BN43">
        <v>9</v>
      </c>
      <c r="BO43">
        <v>9</v>
      </c>
      <c r="BP43">
        <v>3</v>
      </c>
      <c r="BQ43">
        <v>1</v>
      </c>
      <c r="BR43">
        <v>0</v>
      </c>
      <c r="BS43">
        <v>11</v>
      </c>
      <c r="BT43">
        <v>19</v>
      </c>
      <c r="BU43">
        <v>9</v>
      </c>
      <c r="BV43">
        <v>10</v>
      </c>
      <c r="BW43">
        <v>7</v>
      </c>
      <c r="BX43">
        <v>19</v>
      </c>
      <c r="BY43">
        <v>1</v>
      </c>
      <c r="BZ43">
        <v>10</v>
      </c>
      <c r="CA43">
        <v>4</v>
      </c>
      <c r="CB43">
        <v>1</v>
      </c>
      <c r="CC43">
        <v>5</v>
      </c>
      <c r="CD43">
        <v>12</v>
      </c>
      <c r="CE43">
        <v>5</v>
      </c>
      <c r="CF43">
        <v>15</v>
      </c>
      <c r="CG43">
        <v>8</v>
      </c>
      <c r="CH43">
        <v>15</v>
      </c>
      <c r="CI43">
        <v>20</v>
      </c>
      <c r="CJ43">
        <v>7</v>
      </c>
      <c r="CK43">
        <v>6</v>
      </c>
      <c r="CL43">
        <v>2</v>
      </c>
      <c r="CM43">
        <v>11</v>
      </c>
      <c r="CN43">
        <v>13</v>
      </c>
      <c r="CO43">
        <v>9</v>
      </c>
      <c r="CP43">
        <v>12</v>
      </c>
      <c r="CQ43">
        <v>1</v>
      </c>
      <c r="CR43">
        <v>7</v>
      </c>
      <c r="CS43">
        <v>12</v>
      </c>
      <c r="CT43">
        <v>5</v>
      </c>
      <c r="CU43">
        <v>7</v>
      </c>
      <c r="CV43">
        <v>23</v>
      </c>
      <c r="CW43">
        <v>15</v>
      </c>
      <c r="CX43">
        <v>3</v>
      </c>
      <c r="CY43">
        <v>1</v>
      </c>
      <c r="CZ43">
        <v>13</v>
      </c>
    </row>
    <row r="44" spans="1:104" x14ac:dyDescent="0.2">
      <c r="C44" t="s">
        <v>189</v>
      </c>
      <c r="D44" s="177">
        <v>0</v>
      </c>
      <c r="E44" s="180">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c r="BY44">
        <v>0</v>
      </c>
      <c r="BZ44">
        <v>0</v>
      </c>
      <c r="CA44">
        <v>0</v>
      </c>
      <c r="CB44">
        <v>0</v>
      </c>
      <c r="CC44">
        <v>0</v>
      </c>
      <c r="CD44">
        <v>0</v>
      </c>
      <c r="CE44">
        <v>0</v>
      </c>
      <c r="CF44">
        <v>0</v>
      </c>
      <c r="CG44">
        <v>0</v>
      </c>
      <c r="CH44">
        <v>0</v>
      </c>
      <c r="CI44">
        <v>0</v>
      </c>
      <c r="CJ44">
        <v>0</v>
      </c>
      <c r="CK44">
        <v>0</v>
      </c>
      <c r="CL44">
        <v>0</v>
      </c>
      <c r="CM44">
        <v>0</v>
      </c>
      <c r="CN44">
        <v>0</v>
      </c>
      <c r="CO44">
        <v>0</v>
      </c>
      <c r="CP44">
        <v>0</v>
      </c>
      <c r="CQ44">
        <v>0</v>
      </c>
      <c r="CR44">
        <v>0</v>
      </c>
      <c r="CS44">
        <v>0</v>
      </c>
      <c r="CT44">
        <v>0</v>
      </c>
      <c r="CU44">
        <v>0</v>
      </c>
      <c r="CV44">
        <v>0</v>
      </c>
      <c r="CW44">
        <v>0</v>
      </c>
      <c r="CX44">
        <v>0</v>
      </c>
      <c r="CY44">
        <v>0</v>
      </c>
      <c r="CZ44">
        <v>0</v>
      </c>
    </row>
    <row r="45" spans="1:104" x14ac:dyDescent="0.2">
      <c r="C45" t="s">
        <v>190</v>
      </c>
      <c r="D45" s="177">
        <v>17.84</v>
      </c>
      <c r="E45" s="180">
        <v>18</v>
      </c>
      <c r="F45">
        <v>25</v>
      </c>
      <c r="G45">
        <v>13</v>
      </c>
      <c r="H45">
        <v>22</v>
      </c>
      <c r="I45">
        <v>23</v>
      </c>
      <c r="J45">
        <v>10</v>
      </c>
      <c r="K45">
        <v>8</v>
      </c>
      <c r="L45">
        <v>9</v>
      </c>
      <c r="M45">
        <v>33</v>
      </c>
      <c r="N45">
        <v>16</v>
      </c>
      <c r="O45">
        <v>25</v>
      </c>
      <c r="P45">
        <v>11</v>
      </c>
      <c r="Q45">
        <v>14</v>
      </c>
      <c r="R45">
        <v>16</v>
      </c>
      <c r="S45">
        <v>7</v>
      </c>
      <c r="T45">
        <v>12</v>
      </c>
      <c r="U45">
        <v>18</v>
      </c>
      <c r="V45">
        <v>18</v>
      </c>
      <c r="W45">
        <v>25</v>
      </c>
      <c r="X45">
        <v>24</v>
      </c>
      <c r="Y45">
        <v>12</v>
      </c>
      <c r="Z45">
        <v>14</v>
      </c>
      <c r="AA45">
        <v>26</v>
      </c>
      <c r="AB45">
        <v>20</v>
      </c>
      <c r="AC45">
        <v>18</v>
      </c>
      <c r="AD45">
        <v>19</v>
      </c>
      <c r="AE45">
        <v>15</v>
      </c>
      <c r="AF45">
        <v>22</v>
      </c>
      <c r="AG45">
        <v>14</v>
      </c>
      <c r="AH45">
        <v>11</v>
      </c>
      <c r="AI45">
        <v>46</v>
      </c>
      <c r="AJ45">
        <v>21</v>
      </c>
      <c r="AK45">
        <v>11</v>
      </c>
      <c r="AL45">
        <v>22</v>
      </c>
      <c r="AM45">
        <v>19</v>
      </c>
      <c r="AN45">
        <v>24</v>
      </c>
      <c r="AO45">
        <v>16</v>
      </c>
      <c r="AP45">
        <v>24</v>
      </c>
      <c r="AQ45">
        <v>12</v>
      </c>
      <c r="AR45">
        <v>19</v>
      </c>
      <c r="AS45">
        <v>9</v>
      </c>
      <c r="AT45">
        <v>19</v>
      </c>
      <c r="AU45">
        <v>23</v>
      </c>
      <c r="AV45">
        <v>24</v>
      </c>
      <c r="AW45">
        <v>30</v>
      </c>
      <c r="AX45">
        <v>13</v>
      </c>
      <c r="AY45">
        <v>22</v>
      </c>
      <c r="AZ45">
        <v>7</v>
      </c>
      <c r="BA45">
        <v>27</v>
      </c>
      <c r="BB45">
        <v>23</v>
      </c>
      <c r="BC45">
        <v>5</v>
      </c>
      <c r="BD45">
        <v>22</v>
      </c>
      <c r="BE45">
        <v>25</v>
      </c>
      <c r="BF45">
        <v>22</v>
      </c>
      <c r="BG45">
        <v>10</v>
      </c>
      <c r="BH45">
        <v>20</v>
      </c>
      <c r="BI45">
        <v>19</v>
      </c>
      <c r="BJ45">
        <v>10</v>
      </c>
      <c r="BK45">
        <v>33</v>
      </c>
      <c r="BL45">
        <v>45</v>
      </c>
      <c r="BM45">
        <v>7</v>
      </c>
      <c r="BN45">
        <v>12</v>
      </c>
      <c r="BO45">
        <v>11</v>
      </c>
      <c r="BP45">
        <v>11</v>
      </c>
      <c r="BQ45">
        <v>10</v>
      </c>
      <c r="BR45">
        <v>8</v>
      </c>
      <c r="BS45">
        <v>15</v>
      </c>
      <c r="BT45">
        <v>19</v>
      </c>
      <c r="BU45">
        <v>14</v>
      </c>
      <c r="BV45">
        <v>20</v>
      </c>
      <c r="BW45">
        <v>10</v>
      </c>
      <c r="BX45">
        <v>27</v>
      </c>
      <c r="BY45">
        <v>14</v>
      </c>
      <c r="BZ45">
        <v>14</v>
      </c>
      <c r="CA45">
        <v>21</v>
      </c>
      <c r="CB45">
        <v>23</v>
      </c>
      <c r="CC45">
        <v>16</v>
      </c>
      <c r="CD45">
        <v>13</v>
      </c>
      <c r="CE45">
        <v>12</v>
      </c>
      <c r="CF45">
        <v>17</v>
      </c>
      <c r="CG45">
        <v>19</v>
      </c>
      <c r="CH45">
        <v>20</v>
      </c>
      <c r="CI45">
        <v>26</v>
      </c>
      <c r="CJ45">
        <v>16</v>
      </c>
      <c r="CK45">
        <v>8</v>
      </c>
      <c r="CL45">
        <v>13</v>
      </c>
      <c r="CM45">
        <v>17</v>
      </c>
      <c r="CN45">
        <v>23</v>
      </c>
      <c r="CO45">
        <v>13</v>
      </c>
      <c r="CP45">
        <v>15</v>
      </c>
      <c r="CQ45">
        <v>10</v>
      </c>
      <c r="CR45">
        <v>8</v>
      </c>
      <c r="CS45">
        <v>16</v>
      </c>
      <c r="CT45">
        <v>14</v>
      </c>
      <c r="CU45">
        <v>21</v>
      </c>
      <c r="CV45">
        <v>28</v>
      </c>
      <c r="CW45">
        <v>24</v>
      </c>
      <c r="CX45">
        <v>14</v>
      </c>
      <c r="CY45">
        <v>22</v>
      </c>
      <c r="CZ45">
        <v>23</v>
      </c>
    </row>
    <row r="46" spans="1:104" x14ac:dyDescent="0.2">
      <c r="C46" t="s">
        <v>191</v>
      </c>
      <c r="D46" s="177">
        <v>6.7766784117547116</v>
      </c>
      <c r="E46" s="181">
        <v>6.922029598383947</v>
      </c>
      <c r="F46" s="177">
        <v>11.799985449791476</v>
      </c>
      <c r="G46" s="177">
        <v>5.5247431951284476</v>
      </c>
      <c r="H46" s="177">
        <v>8.8456518679575744</v>
      </c>
      <c r="I46" s="177">
        <v>8.054529228137465</v>
      </c>
      <c r="J46" s="177">
        <v>2.722501223341756</v>
      </c>
      <c r="K46" s="177">
        <v>1.9956099862478422</v>
      </c>
      <c r="L46" s="177">
        <v>3.0053070319654589</v>
      </c>
      <c r="M46" s="177">
        <v>22.425908488080786</v>
      </c>
      <c r="N46" s="177">
        <v>5.8287309384767951</v>
      </c>
      <c r="O46" s="177">
        <v>7.851014575245058</v>
      </c>
      <c r="P46" s="177">
        <v>4.8153966437639744</v>
      </c>
      <c r="Q46" s="177">
        <v>4.1021681253605609</v>
      </c>
      <c r="R46" s="177">
        <v>5.4682288858992543</v>
      </c>
      <c r="S46" s="177">
        <v>1.6414084853705666</v>
      </c>
      <c r="T46" s="177">
        <v>5.2707670457595412</v>
      </c>
      <c r="U46" s="177">
        <v>6.1729444777778655</v>
      </c>
      <c r="V46" s="177">
        <v>7.7836463351099727</v>
      </c>
      <c r="W46" s="177">
        <v>14.311464476636411</v>
      </c>
      <c r="X46" s="177">
        <v>13.107416807000364</v>
      </c>
      <c r="Y46" s="177">
        <v>3.2145691515598189</v>
      </c>
      <c r="Z46" s="177">
        <v>5.8014409034171424</v>
      </c>
      <c r="AA46" s="177">
        <v>11.765516063066114</v>
      </c>
      <c r="AB46" s="177">
        <v>9.1128227914514941</v>
      </c>
      <c r="AC46" s="177">
        <v>6.5243971152622704</v>
      </c>
      <c r="AD46" s="177">
        <v>6.3402952421686187</v>
      </c>
      <c r="AE46" s="177">
        <v>5.7167686237139623</v>
      </c>
      <c r="AF46" s="177">
        <v>5.9934005945165021</v>
      </c>
      <c r="AG46" s="177">
        <v>4.2517250003631633</v>
      </c>
      <c r="AH46" s="177">
        <v>2.6329033372851072</v>
      </c>
      <c r="AI46" s="177">
        <v>18.996445942365636</v>
      </c>
      <c r="AJ46" s="177">
        <v>5.9815751135850057</v>
      </c>
      <c r="AK46" s="177">
        <v>3.5563557307889835</v>
      </c>
      <c r="AL46" s="177">
        <v>5.239872405590452</v>
      </c>
      <c r="AM46" s="177">
        <v>7.4528704720764685</v>
      </c>
      <c r="AN46" s="177">
        <v>8.3531646686010497</v>
      </c>
      <c r="AO46" s="177">
        <v>7.0872931902958642</v>
      </c>
      <c r="AP46" s="177">
        <v>10.168468927565337</v>
      </c>
      <c r="AQ46" s="177">
        <v>4.3039667464412981</v>
      </c>
      <c r="AR46" s="177">
        <v>7.883270689350014</v>
      </c>
      <c r="AS46" s="177">
        <v>1.3434283131275948</v>
      </c>
      <c r="AT46" s="177">
        <v>6.2236053677314542</v>
      </c>
      <c r="AU46" s="177">
        <v>8.4466559840397721</v>
      </c>
      <c r="AV46" s="177">
        <v>6.8101584004019688</v>
      </c>
      <c r="AW46" s="177">
        <v>11.12789481929614</v>
      </c>
      <c r="AX46" s="177">
        <v>3.4716395577425572</v>
      </c>
      <c r="AY46" s="177">
        <v>8.8158313812973788</v>
      </c>
      <c r="AZ46" s="177">
        <v>1.1444091065720734</v>
      </c>
      <c r="BA46" s="177">
        <v>14.559150571434719</v>
      </c>
      <c r="BB46" s="177">
        <v>8.8930849980537587</v>
      </c>
      <c r="BC46" s="177">
        <v>0.92196405001806181</v>
      </c>
      <c r="BD46" s="177">
        <v>7.8038421163358027</v>
      </c>
      <c r="BE46" s="177">
        <v>10.81705110620741</v>
      </c>
      <c r="BF46" s="177">
        <v>7.2138182951416026</v>
      </c>
      <c r="BG46" s="177">
        <v>2.8559702191718008</v>
      </c>
      <c r="BH46" s="177">
        <v>9.3921862152303195</v>
      </c>
      <c r="BI46" s="177">
        <v>8.720483508741264</v>
      </c>
      <c r="BJ46" s="177">
        <v>3.9809279877616062</v>
      </c>
      <c r="BK46" s="177">
        <v>13.204806142214212</v>
      </c>
      <c r="BL46" s="177">
        <v>26.260356957438724</v>
      </c>
      <c r="BM46" s="177">
        <v>1.9815415299860457</v>
      </c>
      <c r="BN46" s="177">
        <v>2.389558083170404</v>
      </c>
      <c r="BO46" s="177">
        <v>2.0265927873787124</v>
      </c>
      <c r="BP46" s="177">
        <v>2.5446938373105583</v>
      </c>
      <c r="BQ46" s="177">
        <v>2.3288129301149634</v>
      </c>
      <c r="BR46" s="177">
        <v>1.8041656709877709</v>
      </c>
      <c r="BS46" s="177">
        <v>3.4861196728101294</v>
      </c>
      <c r="BT46" s="177">
        <v>6.6148258203193118</v>
      </c>
      <c r="BU46" s="177">
        <v>4.9753996755760603</v>
      </c>
      <c r="BV46" s="177">
        <v>9.2822506602324744</v>
      </c>
      <c r="BW46" s="177">
        <v>2.8140950712885373</v>
      </c>
      <c r="BX46" s="177">
        <v>11.246037056966818</v>
      </c>
      <c r="BY46" s="177">
        <v>4.8304591536305148</v>
      </c>
      <c r="BZ46" s="177">
        <v>5.3224282531477431</v>
      </c>
      <c r="CA46" s="177">
        <v>10.222504321549566</v>
      </c>
      <c r="CB46" s="177">
        <v>10.211271666740345</v>
      </c>
      <c r="CC46" s="177">
        <v>3.4795691965372475</v>
      </c>
      <c r="CD46" s="177">
        <v>5.5936938460745234</v>
      </c>
      <c r="CE46" s="177">
        <v>4.4941381050433113</v>
      </c>
      <c r="CF46" s="177">
        <v>5.0241022309130976</v>
      </c>
      <c r="CG46" s="177">
        <v>5.3555254792428704</v>
      </c>
      <c r="CH46" s="177">
        <v>5.8026179272126033</v>
      </c>
      <c r="CI46" s="177">
        <v>13.464850845624204</v>
      </c>
      <c r="CJ46" s="177">
        <v>6.7386309806691767</v>
      </c>
      <c r="CK46" s="177">
        <v>2.0036045691823796</v>
      </c>
      <c r="CL46" s="177">
        <v>2.9449010324480875</v>
      </c>
      <c r="CM46" s="177">
        <v>4.2719549968694066</v>
      </c>
      <c r="CN46" s="177">
        <v>7.0688273400037405</v>
      </c>
      <c r="CO46" s="177">
        <v>4.2119432669699002</v>
      </c>
      <c r="CP46" s="177">
        <v>5.7830842605406563</v>
      </c>
      <c r="CQ46" s="177">
        <v>3.8951691292927269</v>
      </c>
      <c r="CR46" s="177">
        <v>2.0550414000464694</v>
      </c>
      <c r="CS46" s="177">
        <v>5.3179944347960326</v>
      </c>
      <c r="CT46" s="177">
        <v>5.7737685962134169</v>
      </c>
      <c r="CU46" s="177">
        <v>6.8093809319624956</v>
      </c>
      <c r="CV46" s="177">
        <v>13.38916010835842</v>
      </c>
      <c r="CW46" s="177">
        <v>12.043779254036966</v>
      </c>
      <c r="CX46" s="177">
        <v>2.6378328591273243</v>
      </c>
      <c r="CY46" s="177">
        <v>8.7541069579876751</v>
      </c>
      <c r="CZ46" s="177">
        <v>8.6395665622505451</v>
      </c>
    </row>
    <row r="47" spans="1:104" x14ac:dyDescent="0.2">
      <c r="C47" t="s">
        <v>192</v>
      </c>
      <c r="D47" s="177">
        <v>3.5188739734399479</v>
      </c>
      <c r="E47" s="181">
        <v>3.5346534119407389</v>
      </c>
      <c r="F47" s="177">
        <v>6.2933255732221207</v>
      </c>
      <c r="G47" s="177">
        <v>2.750909474752754</v>
      </c>
      <c r="H47" s="177">
        <v>4.5362317271577304</v>
      </c>
      <c r="I47" s="177">
        <v>4.2207140060108985</v>
      </c>
      <c r="J47" s="177">
        <v>1.491781492242058</v>
      </c>
      <c r="K47" s="177">
        <v>1.0835891328042582</v>
      </c>
      <c r="L47" s="177">
        <v>1.5817405431397153</v>
      </c>
      <c r="M47" s="177">
        <v>11.403004315973281</v>
      </c>
      <c r="N47" s="177">
        <v>3.0677531255141028</v>
      </c>
      <c r="O47" s="177">
        <v>4.1321129343395038</v>
      </c>
      <c r="P47" s="177">
        <v>2.4485067680155801</v>
      </c>
      <c r="Q47" s="177">
        <v>2.1975900671574435</v>
      </c>
      <c r="R47" s="177">
        <v>2.9557993977833807</v>
      </c>
      <c r="S47" s="177">
        <v>0.88724782993003604</v>
      </c>
      <c r="T47" s="177">
        <v>2.7380608029919693</v>
      </c>
      <c r="U47" s="177">
        <v>3.2206666840580169</v>
      </c>
      <c r="V47" s="177">
        <v>3.9916135051846013</v>
      </c>
      <c r="W47" s="177">
        <v>7.3079818604100817</v>
      </c>
      <c r="X47" s="177">
        <v>6.6366667377217032</v>
      </c>
      <c r="Y47" s="177">
        <v>1.7376049467890913</v>
      </c>
      <c r="Z47" s="177">
        <v>2.9878665596998157</v>
      </c>
      <c r="AA47" s="177">
        <v>5.882758031533057</v>
      </c>
      <c r="AB47" s="177">
        <v>4.6932992917346752</v>
      </c>
      <c r="AC47" s="177">
        <v>3.3174900586079339</v>
      </c>
      <c r="AD47" s="177">
        <v>3.3665284471691779</v>
      </c>
      <c r="AE47" s="177">
        <v>2.8703440788521988</v>
      </c>
      <c r="AF47" s="177">
        <v>3.009238792225859</v>
      </c>
      <c r="AG47" s="177">
        <v>2.2675866668603537</v>
      </c>
      <c r="AH47" s="177">
        <v>1.4493045893312517</v>
      </c>
      <c r="AI47" s="177">
        <v>9.7835773093728591</v>
      </c>
      <c r="AJ47" s="177">
        <v>3.1481974282026344</v>
      </c>
      <c r="AK47" s="177">
        <v>1.8635925226841834</v>
      </c>
      <c r="AL47" s="177">
        <v>2.7338464724819751</v>
      </c>
      <c r="AM47" s="177">
        <v>3.7736053023171992</v>
      </c>
      <c r="AN47" s="177">
        <v>4.3206024147936466</v>
      </c>
      <c r="AO47" s="177">
        <v>3.6190433312149093</v>
      </c>
      <c r="AP47" s="177">
        <v>5.2369797051838649</v>
      </c>
      <c r="AQ47" s="177">
        <v>2.2652456560217358</v>
      </c>
      <c r="AR47" s="177">
        <v>3.9252800112946127</v>
      </c>
      <c r="AS47" s="177">
        <v>0.77879902210295349</v>
      </c>
      <c r="AT47" s="177">
        <v>3.4898721688213765</v>
      </c>
      <c r="AU47" s="177">
        <v>4.2409988204383797</v>
      </c>
      <c r="AV47" s="177">
        <v>3.6320844802143832</v>
      </c>
      <c r="AW47" s="177">
        <v>5.5639474096480699</v>
      </c>
      <c r="AX47" s="177">
        <v>1.9198006770926583</v>
      </c>
      <c r="AY47" s="177">
        <v>4.5599127834296782</v>
      </c>
      <c r="AZ47" s="177">
        <v>0.65707699898875027</v>
      </c>
      <c r="BA47" s="177">
        <v>7.56319510204401</v>
      </c>
      <c r="BB47" s="177">
        <v>4.7641526775287995</v>
      </c>
      <c r="BC47" s="177">
        <v>0.57924442933071951</v>
      </c>
      <c r="BD47" s="177">
        <v>4.1806297051798946</v>
      </c>
      <c r="BE47" s="177">
        <v>5.619247327899954</v>
      </c>
      <c r="BF47" s="177">
        <v>3.7967464711271592</v>
      </c>
      <c r="BG47" s="177">
        <v>1.516444364162018</v>
      </c>
      <c r="BH47" s="177">
        <v>4.7756879060493151</v>
      </c>
      <c r="BI47" s="177">
        <v>4.3784854437194634</v>
      </c>
      <c r="BJ47" s="177">
        <v>2.0952252567166347</v>
      </c>
      <c r="BK47" s="177">
        <v>6.6024030711071058</v>
      </c>
      <c r="BL47" s="177">
        <v>13.582943253847615</v>
      </c>
      <c r="BM47" s="177">
        <v>1.1008564055478032</v>
      </c>
      <c r="BN47" s="177">
        <v>1.3093468948878926</v>
      </c>
      <c r="BO47" s="177">
        <v>1.1525646184144336</v>
      </c>
      <c r="BP47" s="177">
        <v>1.4202942347779859</v>
      </c>
      <c r="BQ47" s="177">
        <v>1.2937849611749797</v>
      </c>
      <c r="BR47" s="177">
        <v>1.0023142616598728</v>
      </c>
      <c r="BS47" s="177">
        <v>1.834799827794805</v>
      </c>
      <c r="BT47" s="177">
        <v>3.4362731534126296</v>
      </c>
      <c r="BU47" s="177">
        <v>2.5514870131159286</v>
      </c>
      <c r="BV47" s="177">
        <v>4.7601285437089613</v>
      </c>
      <c r="BW47" s="177">
        <v>1.5211324709667771</v>
      </c>
      <c r="BX47" s="177">
        <v>5.6465458026611639</v>
      </c>
      <c r="BY47" s="177">
        <v>2.5762448819362747</v>
      </c>
      <c r="BZ47" s="177">
        <v>2.8513008499005763</v>
      </c>
      <c r="CA47" s="177">
        <v>5.3103918553504244</v>
      </c>
      <c r="CB47" s="177">
        <v>5.214266383016346</v>
      </c>
      <c r="CC47" s="177">
        <v>1.8893588397487315</v>
      </c>
      <c r="CD47" s="177">
        <v>2.8563543043784798</v>
      </c>
      <c r="CE47" s="177">
        <v>2.3046862077145187</v>
      </c>
      <c r="CF47" s="177">
        <v>2.598673567713671</v>
      </c>
      <c r="CG47" s="177">
        <v>2.7700993858152776</v>
      </c>
      <c r="CH47" s="177">
        <v>3.054009435375054</v>
      </c>
      <c r="CI47" s="177">
        <v>6.7890004263651447</v>
      </c>
      <c r="CJ47" s="177">
        <v>3.3976290658836188</v>
      </c>
      <c r="CK47" s="177">
        <v>1.1029015977150713</v>
      </c>
      <c r="CL47" s="177">
        <v>1.6590991732101903</v>
      </c>
      <c r="CM47" s="177">
        <v>2.2483973667733719</v>
      </c>
      <c r="CN47" s="177">
        <v>3.838277288689814</v>
      </c>
      <c r="CO47" s="177">
        <v>2.2563981787338752</v>
      </c>
      <c r="CP47" s="177">
        <v>3.0304371670955401</v>
      </c>
      <c r="CQ47" s="177">
        <v>2.0060956889061257</v>
      </c>
      <c r="CR47" s="177">
        <v>1.1856008077191169</v>
      </c>
      <c r="CS47" s="177">
        <v>2.7506867766186374</v>
      </c>
      <c r="CT47" s="177">
        <v>2.9993603097212556</v>
      </c>
      <c r="CU47" s="177">
        <v>3.5220935854978426</v>
      </c>
      <c r="CV47" s="177">
        <v>6.8662359530043178</v>
      </c>
      <c r="CW47" s="177">
        <v>6.1500149382316422</v>
      </c>
      <c r="CX47" s="177">
        <v>1.6232817594629689</v>
      </c>
      <c r="CY47" s="177">
        <v>4.5475880301234675</v>
      </c>
      <c r="CZ47" s="177">
        <v>4.4305469550002794</v>
      </c>
    </row>
    <row r="48" spans="1:104" x14ac:dyDescent="0.2">
      <c r="E48" s="180"/>
    </row>
    <row r="49" spans="1:104" x14ac:dyDescent="0.2">
      <c r="B49" t="s">
        <v>166</v>
      </c>
      <c r="C49" t="s">
        <v>187</v>
      </c>
      <c r="D49" s="177">
        <v>23.11</v>
      </c>
      <c r="E49" s="180">
        <v>24</v>
      </c>
      <c r="F49">
        <v>28</v>
      </c>
      <c r="G49">
        <v>26</v>
      </c>
      <c r="H49">
        <v>18</v>
      </c>
      <c r="I49">
        <v>14</v>
      </c>
      <c r="J49">
        <v>25</v>
      </c>
      <c r="K49">
        <v>28</v>
      </c>
      <c r="L49">
        <v>24</v>
      </c>
      <c r="M49">
        <v>23</v>
      </c>
      <c r="N49">
        <v>19</v>
      </c>
      <c r="O49">
        <v>21</v>
      </c>
      <c r="P49">
        <v>24</v>
      </c>
      <c r="Q49">
        <v>23</v>
      </c>
      <c r="R49">
        <v>22</v>
      </c>
      <c r="S49">
        <v>22</v>
      </c>
      <c r="T49">
        <v>33</v>
      </c>
      <c r="U49">
        <v>18</v>
      </c>
      <c r="V49">
        <v>18</v>
      </c>
      <c r="W49">
        <v>25</v>
      </c>
      <c r="X49">
        <v>33</v>
      </c>
      <c r="Y49">
        <v>26</v>
      </c>
      <c r="Z49">
        <v>15</v>
      </c>
      <c r="AA49">
        <v>22</v>
      </c>
      <c r="AB49">
        <v>25</v>
      </c>
      <c r="AC49">
        <v>30</v>
      </c>
      <c r="AD49">
        <v>27</v>
      </c>
      <c r="AE49">
        <v>21</v>
      </c>
      <c r="AF49">
        <v>29</v>
      </c>
      <c r="AG49">
        <v>28</v>
      </c>
      <c r="AH49">
        <v>23</v>
      </c>
      <c r="AI49">
        <v>22</v>
      </c>
      <c r="AJ49">
        <v>20</v>
      </c>
      <c r="AK49">
        <v>19</v>
      </c>
      <c r="AL49">
        <v>17</v>
      </c>
      <c r="AM49">
        <v>31</v>
      </c>
      <c r="AN49">
        <v>30</v>
      </c>
      <c r="AO49">
        <v>30</v>
      </c>
      <c r="AP49">
        <v>26</v>
      </c>
      <c r="AQ49">
        <v>19</v>
      </c>
      <c r="AR49">
        <v>25</v>
      </c>
      <c r="AS49">
        <v>21</v>
      </c>
      <c r="AT49">
        <v>25</v>
      </c>
      <c r="AU49">
        <v>21</v>
      </c>
      <c r="AV49">
        <v>26</v>
      </c>
      <c r="AW49">
        <v>29</v>
      </c>
      <c r="AX49">
        <v>18</v>
      </c>
      <c r="AY49">
        <v>22</v>
      </c>
      <c r="AZ49">
        <v>20</v>
      </c>
      <c r="BA49">
        <v>20</v>
      </c>
      <c r="BB49">
        <v>18</v>
      </c>
      <c r="BC49">
        <v>24</v>
      </c>
      <c r="BD49">
        <v>18</v>
      </c>
      <c r="BE49">
        <v>22</v>
      </c>
      <c r="BF49">
        <v>27</v>
      </c>
      <c r="BG49">
        <v>21</v>
      </c>
      <c r="BH49">
        <v>31</v>
      </c>
      <c r="BI49">
        <v>24</v>
      </c>
      <c r="BJ49">
        <v>18</v>
      </c>
      <c r="BK49">
        <v>32</v>
      </c>
      <c r="BL49">
        <v>21</v>
      </c>
      <c r="BM49">
        <v>27</v>
      </c>
      <c r="BN49">
        <v>29</v>
      </c>
      <c r="BO49">
        <v>20</v>
      </c>
      <c r="BP49">
        <v>17</v>
      </c>
      <c r="BQ49">
        <v>22</v>
      </c>
      <c r="BR49">
        <v>28</v>
      </c>
      <c r="BS49">
        <v>21</v>
      </c>
      <c r="BT49">
        <v>19</v>
      </c>
      <c r="BU49">
        <v>30</v>
      </c>
      <c r="BV49">
        <v>28</v>
      </c>
      <c r="BW49">
        <v>27</v>
      </c>
      <c r="BX49">
        <v>24</v>
      </c>
      <c r="BY49">
        <v>22</v>
      </c>
      <c r="BZ49">
        <v>17</v>
      </c>
      <c r="CA49">
        <v>28</v>
      </c>
      <c r="CB49">
        <v>26</v>
      </c>
      <c r="CC49">
        <v>20</v>
      </c>
      <c r="CD49">
        <v>26</v>
      </c>
      <c r="CE49">
        <v>25</v>
      </c>
      <c r="CF49">
        <v>23</v>
      </c>
      <c r="CG49">
        <v>28</v>
      </c>
      <c r="CH49">
        <v>21</v>
      </c>
      <c r="CI49">
        <v>23</v>
      </c>
      <c r="CJ49">
        <v>20</v>
      </c>
      <c r="CK49">
        <v>21</v>
      </c>
      <c r="CL49">
        <v>24</v>
      </c>
      <c r="CM49">
        <v>19</v>
      </c>
      <c r="CN49">
        <v>19</v>
      </c>
      <c r="CO49">
        <v>18</v>
      </c>
      <c r="CP49">
        <v>15</v>
      </c>
      <c r="CQ49">
        <v>20</v>
      </c>
      <c r="CR49">
        <v>15</v>
      </c>
      <c r="CS49">
        <v>24</v>
      </c>
      <c r="CT49">
        <v>23</v>
      </c>
      <c r="CU49">
        <v>23</v>
      </c>
      <c r="CV49">
        <v>26</v>
      </c>
      <c r="CW49">
        <v>23</v>
      </c>
      <c r="CX49">
        <v>20</v>
      </c>
      <c r="CY49">
        <v>17</v>
      </c>
      <c r="CZ49">
        <v>22</v>
      </c>
    </row>
    <row r="50" spans="1:104" x14ac:dyDescent="0.2">
      <c r="C50" t="s">
        <v>188</v>
      </c>
      <c r="D50" s="177">
        <v>0.25</v>
      </c>
      <c r="E50" s="180">
        <v>3</v>
      </c>
      <c r="F50">
        <v>0</v>
      </c>
      <c r="G50">
        <v>0</v>
      </c>
      <c r="H50">
        <v>0</v>
      </c>
      <c r="I50">
        <v>0</v>
      </c>
      <c r="J50">
        <v>1</v>
      </c>
      <c r="K50">
        <v>0</v>
      </c>
      <c r="L50">
        <v>0</v>
      </c>
      <c r="M50">
        <v>0</v>
      </c>
      <c r="N50">
        <v>0</v>
      </c>
      <c r="O50">
        <v>0</v>
      </c>
      <c r="P50">
        <v>0</v>
      </c>
      <c r="Q50">
        <v>0</v>
      </c>
      <c r="R50">
        <v>1</v>
      </c>
      <c r="S50">
        <v>0</v>
      </c>
      <c r="T50">
        <v>0</v>
      </c>
      <c r="U50">
        <v>0</v>
      </c>
      <c r="V50">
        <v>0</v>
      </c>
      <c r="W50">
        <v>1</v>
      </c>
      <c r="X50">
        <v>0</v>
      </c>
      <c r="Y50">
        <v>0</v>
      </c>
      <c r="Z50">
        <v>0</v>
      </c>
      <c r="AA50">
        <v>0</v>
      </c>
      <c r="AB50">
        <v>0</v>
      </c>
      <c r="AC50">
        <v>0</v>
      </c>
      <c r="AD50">
        <v>0</v>
      </c>
      <c r="AE50">
        <v>0</v>
      </c>
      <c r="AF50">
        <v>0</v>
      </c>
      <c r="AG50">
        <v>0</v>
      </c>
      <c r="AH50">
        <v>0</v>
      </c>
      <c r="AI50">
        <v>0</v>
      </c>
      <c r="AJ50">
        <v>0</v>
      </c>
      <c r="AK50">
        <v>0</v>
      </c>
      <c r="AL50">
        <v>0</v>
      </c>
      <c r="AM50">
        <v>0</v>
      </c>
      <c r="AN50">
        <v>0</v>
      </c>
      <c r="AO50">
        <v>0</v>
      </c>
      <c r="AP50">
        <v>0</v>
      </c>
      <c r="AQ50">
        <v>1</v>
      </c>
      <c r="AR50">
        <v>0</v>
      </c>
      <c r="AS50">
        <v>0</v>
      </c>
      <c r="AT50">
        <v>0</v>
      </c>
      <c r="AU50">
        <v>0</v>
      </c>
      <c r="AV50">
        <v>0</v>
      </c>
      <c r="AW50">
        <v>1</v>
      </c>
      <c r="AX50">
        <v>0</v>
      </c>
      <c r="AY50">
        <v>0</v>
      </c>
      <c r="AZ50">
        <v>2</v>
      </c>
      <c r="BA50">
        <v>0</v>
      </c>
      <c r="BB50">
        <v>0</v>
      </c>
      <c r="BC50">
        <v>0</v>
      </c>
      <c r="BD50">
        <v>0</v>
      </c>
      <c r="BE50">
        <v>2</v>
      </c>
      <c r="BF50">
        <v>0</v>
      </c>
      <c r="BG50">
        <v>0</v>
      </c>
      <c r="BH50">
        <v>0</v>
      </c>
      <c r="BI50">
        <v>0</v>
      </c>
      <c r="BJ50">
        <v>0</v>
      </c>
      <c r="BK50">
        <v>0</v>
      </c>
      <c r="BL50">
        <v>0</v>
      </c>
      <c r="BM50">
        <v>1</v>
      </c>
      <c r="BN50">
        <v>0</v>
      </c>
      <c r="BO50">
        <v>0</v>
      </c>
      <c r="BP50">
        <v>0</v>
      </c>
      <c r="BQ50">
        <v>2</v>
      </c>
      <c r="BR50">
        <v>0</v>
      </c>
      <c r="BS50">
        <v>0</v>
      </c>
      <c r="BT50">
        <v>0</v>
      </c>
      <c r="BU50">
        <v>0</v>
      </c>
      <c r="BV50">
        <v>0</v>
      </c>
      <c r="BW50">
        <v>0</v>
      </c>
      <c r="BX50">
        <v>0</v>
      </c>
      <c r="BY50">
        <v>0</v>
      </c>
      <c r="BZ50">
        <v>0</v>
      </c>
      <c r="CA50">
        <v>0</v>
      </c>
      <c r="CB50">
        <v>0</v>
      </c>
      <c r="CC50">
        <v>3</v>
      </c>
      <c r="CD50">
        <v>0</v>
      </c>
      <c r="CE50">
        <v>3</v>
      </c>
      <c r="CF50">
        <v>0</v>
      </c>
      <c r="CG50">
        <v>0</v>
      </c>
      <c r="CH50">
        <v>0</v>
      </c>
      <c r="CI50">
        <v>0</v>
      </c>
      <c r="CJ50">
        <v>0</v>
      </c>
      <c r="CK50">
        <v>0</v>
      </c>
      <c r="CL50">
        <v>0</v>
      </c>
      <c r="CM50">
        <v>2</v>
      </c>
      <c r="CN50">
        <v>0</v>
      </c>
      <c r="CO50">
        <v>0</v>
      </c>
      <c r="CP50">
        <v>0</v>
      </c>
      <c r="CQ50">
        <v>0</v>
      </c>
      <c r="CR50">
        <v>0</v>
      </c>
      <c r="CS50">
        <v>0</v>
      </c>
      <c r="CT50">
        <v>0</v>
      </c>
      <c r="CU50">
        <v>2</v>
      </c>
      <c r="CV50">
        <v>0</v>
      </c>
      <c r="CW50">
        <v>0</v>
      </c>
      <c r="CX50">
        <v>0</v>
      </c>
      <c r="CY50">
        <v>0</v>
      </c>
      <c r="CZ50">
        <v>0</v>
      </c>
    </row>
    <row r="51" spans="1:104" x14ac:dyDescent="0.2">
      <c r="C51" t="s">
        <v>189</v>
      </c>
      <c r="D51" s="177">
        <v>0</v>
      </c>
      <c r="E51" s="180">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c r="BY51">
        <v>0</v>
      </c>
      <c r="BZ51">
        <v>0</v>
      </c>
      <c r="CA51">
        <v>0</v>
      </c>
      <c r="CB51">
        <v>0</v>
      </c>
      <c r="CC51">
        <v>0</v>
      </c>
      <c r="CD51">
        <v>0</v>
      </c>
      <c r="CE51">
        <v>0</v>
      </c>
      <c r="CF51">
        <v>0</v>
      </c>
      <c r="CG51">
        <v>0</v>
      </c>
      <c r="CH51">
        <v>0</v>
      </c>
      <c r="CI51">
        <v>0</v>
      </c>
      <c r="CJ51">
        <v>0</v>
      </c>
      <c r="CK51">
        <v>0</v>
      </c>
      <c r="CL51">
        <v>0</v>
      </c>
      <c r="CM51">
        <v>0</v>
      </c>
      <c r="CN51">
        <v>0</v>
      </c>
      <c r="CO51">
        <v>0</v>
      </c>
      <c r="CP51">
        <v>0</v>
      </c>
      <c r="CQ51">
        <v>0</v>
      </c>
      <c r="CR51">
        <v>0</v>
      </c>
      <c r="CS51">
        <v>0</v>
      </c>
      <c r="CT51">
        <v>0</v>
      </c>
      <c r="CU51">
        <v>0</v>
      </c>
      <c r="CV51">
        <v>0</v>
      </c>
      <c r="CW51">
        <v>0</v>
      </c>
      <c r="CX51">
        <v>0</v>
      </c>
      <c r="CY51">
        <v>0</v>
      </c>
      <c r="CZ51">
        <v>0</v>
      </c>
    </row>
    <row r="52" spans="1:104" x14ac:dyDescent="0.2">
      <c r="C52" t="s">
        <v>190</v>
      </c>
      <c r="D52" s="177">
        <v>1.97</v>
      </c>
      <c r="E52" s="180">
        <v>4</v>
      </c>
      <c r="F52">
        <v>3</v>
      </c>
      <c r="G52">
        <v>3</v>
      </c>
      <c r="H52">
        <v>0</v>
      </c>
      <c r="I52">
        <v>1</v>
      </c>
      <c r="J52">
        <v>5</v>
      </c>
      <c r="K52">
        <v>4</v>
      </c>
      <c r="L52">
        <v>2</v>
      </c>
      <c r="M52">
        <v>1</v>
      </c>
      <c r="N52">
        <v>2</v>
      </c>
      <c r="O52">
        <v>2</v>
      </c>
      <c r="P52">
        <v>2</v>
      </c>
      <c r="Q52">
        <v>1</v>
      </c>
      <c r="R52">
        <v>2</v>
      </c>
      <c r="S52">
        <v>2</v>
      </c>
      <c r="T52">
        <v>3</v>
      </c>
      <c r="U52">
        <v>1</v>
      </c>
      <c r="V52">
        <v>0</v>
      </c>
      <c r="W52">
        <v>2</v>
      </c>
      <c r="X52">
        <v>2</v>
      </c>
      <c r="Y52">
        <v>2</v>
      </c>
      <c r="Z52">
        <v>1</v>
      </c>
      <c r="AA52">
        <v>1</v>
      </c>
      <c r="AB52">
        <v>3</v>
      </c>
      <c r="AC52">
        <v>2</v>
      </c>
      <c r="AD52">
        <v>3</v>
      </c>
      <c r="AE52">
        <v>1</v>
      </c>
      <c r="AF52">
        <v>4</v>
      </c>
      <c r="AG52">
        <v>2</v>
      </c>
      <c r="AH52">
        <v>1</v>
      </c>
      <c r="AI52">
        <v>1</v>
      </c>
      <c r="AJ52">
        <v>3</v>
      </c>
      <c r="AK52">
        <v>1</v>
      </c>
      <c r="AL52">
        <v>1</v>
      </c>
      <c r="AM52">
        <v>3</v>
      </c>
      <c r="AN52">
        <v>3</v>
      </c>
      <c r="AO52">
        <v>3</v>
      </c>
      <c r="AP52">
        <v>3</v>
      </c>
      <c r="AQ52">
        <v>2</v>
      </c>
      <c r="AR52">
        <v>2</v>
      </c>
      <c r="AS52">
        <v>1</v>
      </c>
      <c r="AT52">
        <v>1</v>
      </c>
      <c r="AU52">
        <v>2</v>
      </c>
      <c r="AV52">
        <v>1</v>
      </c>
      <c r="AW52">
        <v>3</v>
      </c>
      <c r="AX52">
        <v>1</v>
      </c>
      <c r="AY52">
        <v>2</v>
      </c>
      <c r="AZ52">
        <v>2</v>
      </c>
      <c r="BA52">
        <v>1</v>
      </c>
      <c r="BB52">
        <v>1</v>
      </c>
      <c r="BC52">
        <v>3</v>
      </c>
      <c r="BD52">
        <v>1</v>
      </c>
      <c r="BE52">
        <v>3</v>
      </c>
      <c r="BF52">
        <v>1</v>
      </c>
      <c r="BG52">
        <v>1</v>
      </c>
      <c r="BH52">
        <v>3</v>
      </c>
      <c r="BI52">
        <v>1</v>
      </c>
      <c r="BJ52">
        <v>1</v>
      </c>
      <c r="BK52">
        <v>2</v>
      </c>
      <c r="BL52">
        <v>2</v>
      </c>
      <c r="BM52">
        <v>3</v>
      </c>
      <c r="BN52">
        <v>2</v>
      </c>
      <c r="BO52">
        <v>2</v>
      </c>
      <c r="BP52">
        <v>1</v>
      </c>
      <c r="BQ52">
        <v>5</v>
      </c>
      <c r="BR52">
        <v>2</v>
      </c>
      <c r="BS52">
        <v>1</v>
      </c>
      <c r="BT52">
        <v>1</v>
      </c>
      <c r="BU52">
        <v>3</v>
      </c>
      <c r="BV52">
        <v>2</v>
      </c>
      <c r="BW52">
        <v>2</v>
      </c>
      <c r="BX52">
        <v>1</v>
      </c>
      <c r="BY52">
        <v>1</v>
      </c>
      <c r="BZ52">
        <v>2</v>
      </c>
      <c r="CA52">
        <v>3</v>
      </c>
      <c r="CB52">
        <v>2</v>
      </c>
      <c r="CC52">
        <v>4</v>
      </c>
      <c r="CD52">
        <v>2</v>
      </c>
      <c r="CE52">
        <v>4</v>
      </c>
      <c r="CF52">
        <v>2</v>
      </c>
      <c r="CG52">
        <v>3</v>
      </c>
      <c r="CH52">
        <v>1</v>
      </c>
      <c r="CI52">
        <v>2</v>
      </c>
      <c r="CJ52">
        <v>2</v>
      </c>
      <c r="CK52">
        <v>2</v>
      </c>
      <c r="CL52">
        <v>2</v>
      </c>
      <c r="CM52">
        <v>2</v>
      </c>
      <c r="CN52">
        <v>3</v>
      </c>
      <c r="CO52">
        <v>0</v>
      </c>
      <c r="CP52">
        <v>1</v>
      </c>
      <c r="CQ52">
        <v>1</v>
      </c>
      <c r="CR52">
        <v>0</v>
      </c>
      <c r="CS52">
        <v>2</v>
      </c>
      <c r="CT52">
        <v>3</v>
      </c>
      <c r="CU52">
        <v>2</v>
      </c>
      <c r="CV52">
        <v>2</v>
      </c>
      <c r="CW52">
        <v>2</v>
      </c>
      <c r="CX52">
        <v>3</v>
      </c>
      <c r="CY52">
        <v>1</v>
      </c>
      <c r="CZ52">
        <v>1</v>
      </c>
    </row>
    <row r="53" spans="1:104" x14ac:dyDescent="0.2">
      <c r="C53" t="s">
        <v>191</v>
      </c>
      <c r="D53" s="177">
        <v>0.13760617198517683</v>
      </c>
      <c r="E53" s="181">
        <v>0.35422467336236713</v>
      </c>
      <c r="F53" s="177">
        <v>0.26914778836352932</v>
      </c>
      <c r="G53" s="177">
        <v>0.21658069065037541</v>
      </c>
      <c r="H53" s="177">
        <v>0</v>
      </c>
      <c r="I53" s="177">
        <v>9.169434554297121E-3</v>
      </c>
      <c r="J53" s="177">
        <v>0.46437856828499513</v>
      </c>
      <c r="K53" s="177">
        <v>0.3396350070668957</v>
      </c>
      <c r="L53" s="177">
        <v>4.1609760101035377E-2</v>
      </c>
      <c r="M53" s="177">
        <v>2.1528813196841974E-2</v>
      </c>
      <c r="N53" s="177">
        <v>7.1173304060969639E-2</v>
      </c>
      <c r="O53" s="177">
        <v>0.14392136575356265</v>
      </c>
      <c r="P53" s="177">
        <v>9.0711437075260429E-2</v>
      </c>
      <c r="Q53" s="177">
        <v>4.281281745372259E-2</v>
      </c>
      <c r="R53" s="177">
        <v>0.14305665271268608</v>
      </c>
      <c r="S53" s="177">
        <v>0.11449741641856054</v>
      </c>
      <c r="T53" s="177">
        <v>0.41797515469096663</v>
      </c>
      <c r="U53" s="177">
        <v>1.4119261766126634E-2</v>
      </c>
      <c r="V53" s="177">
        <v>0</v>
      </c>
      <c r="W53" s="177">
        <v>6.6944764364268342E-2</v>
      </c>
      <c r="X53" s="177">
        <v>0.17576469821290791</v>
      </c>
      <c r="Y53" s="177">
        <v>5.7006191362089412E-2</v>
      </c>
      <c r="Z53" s="177">
        <v>1.1263493260135723E-3</v>
      </c>
      <c r="AA53" s="177">
        <v>1.0097982112832801E-2</v>
      </c>
      <c r="AB53" s="177">
        <v>0.24813102860182229</v>
      </c>
      <c r="AC53" s="177">
        <v>0.1414315344189592</v>
      </c>
      <c r="AD53" s="177">
        <v>0.21780077927117336</v>
      </c>
      <c r="AE53" s="177">
        <v>6.7457097477719927E-2</v>
      </c>
      <c r="AF53" s="177">
        <v>0.60210978477681509</v>
      </c>
      <c r="AG53" s="177">
        <v>0.21977728876583233</v>
      </c>
      <c r="AH53" s="177">
        <v>3.5551919958204142E-2</v>
      </c>
      <c r="AI53" s="177">
        <v>3.6797427727912495E-2</v>
      </c>
      <c r="AJ53" s="177">
        <v>0.19922998716519141</v>
      </c>
      <c r="AK53" s="177">
        <v>5.6250688604941007E-2</v>
      </c>
      <c r="AL53" s="177">
        <v>3.4629401572598618E-2</v>
      </c>
      <c r="AM53" s="177">
        <v>0.36016387264361144</v>
      </c>
      <c r="AN53" s="177">
        <v>0.32433518158235741</v>
      </c>
      <c r="AO53" s="177">
        <v>0.2852159363824468</v>
      </c>
      <c r="AP53" s="177">
        <v>0.4265732562586651</v>
      </c>
      <c r="AQ53" s="177">
        <v>0.11494366573026585</v>
      </c>
      <c r="AR53" s="177">
        <v>0.2907640401732357</v>
      </c>
      <c r="AS53" s="177">
        <v>3.7445640425803096E-2</v>
      </c>
      <c r="AT53" s="177">
        <v>6.2008548480465879E-2</v>
      </c>
      <c r="AU53" s="177">
        <v>0.14391411633313306</v>
      </c>
      <c r="AV53" s="177">
        <v>1.5208818712216103E-2</v>
      </c>
      <c r="AW53" s="177">
        <v>0.18887642608432834</v>
      </c>
      <c r="AX53" s="177">
        <v>2.0006048842047116E-3</v>
      </c>
      <c r="AY53" s="177">
        <v>0.17051650752349684</v>
      </c>
      <c r="AZ53" s="177">
        <v>0.14854560122360308</v>
      </c>
      <c r="BA53" s="177">
        <v>2.9943073897793642E-2</v>
      </c>
      <c r="BB53" s="177">
        <v>8.6134314267718292E-3</v>
      </c>
      <c r="BC53" s="177">
        <v>0.13278964850087513</v>
      </c>
      <c r="BD53" s="177">
        <v>9.2863484669553735E-3</v>
      </c>
      <c r="BE53" s="177">
        <v>9.8368803795222295E-2</v>
      </c>
      <c r="BF53" s="177">
        <v>9.5453164630838458E-2</v>
      </c>
      <c r="BG53" s="177">
        <v>2.976300953946831E-2</v>
      </c>
      <c r="BH53" s="177">
        <v>0.45850696725815093</v>
      </c>
      <c r="BI53" s="177">
        <v>3.0560894822242092E-2</v>
      </c>
      <c r="BJ53" s="177">
        <v>3.8685504608086063E-2</v>
      </c>
      <c r="BK53" s="177">
        <v>0.13688975864704594</v>
      </c>
      <c r="BL53" s="177">
        <v>0.10658574161357638</v>
      </c>
      <c r="BM53" s="177">
        <v>0.31727323858296441</v>
      </c>
      <c r="BN53" s="177">
        <v>0.1964140950173911</v>
      </c>
      <c r="BO53" s="177">
        <v>4.7705020636500998E-2</v>
      </c>
      <c r="BP53" s="177">
        <v>1.7744899371953929E-3</v>
      </c>
      <c r="BQ53" s="177">
        <v>0.4716335158746518</v>
      </c>
      <c r="BR53" s="177">
        <v>0.20940403730946494</v>
      </c>
      <c r="BS53" s="177">
        <v>3.6989446197100019E-2</v>
      </c>
      <c r="BT53" s="177">
        <v>2.9760376631754022E-2</v>
      </c>
      <c r="BU53" s="177">
        <v>0.23452600215767103</v>
      </c>
      <c r="BV53" s="177">
        <v>0.18078880204970046</v>
      </c>
      <c r="BW53" s="177">
        <v>0.10017142546524278</v>
      </c>
      <c r="BX53" s="177">
        <v>4.6652179251300767E-2</v>
      </c>
      <c r="BY53" s="177">
        <v>4.4821781585373976E-2</v>
      </c>
      <c r="BZ53" s="177">
        <v>5.5796345948438325E-2</v>
      </c>
      <c r="CA53" s="177">
        <v>0.30204180617609983</v>
      </c>
      <c r="CB53" s="177">
        <v>0.11511685359728982</v>
      </c>
      <c r="CC53" s="177">
        <v>0.256256995381898</v>
      </c>
      <c r="CD53" s="177">
        <v>9.7932167356597211E-2</v>
      </c>
      <c r="CE53" s="177">
        <v>0.35178855982949364</v>
      </c>
      <c r="CF53" s="177">
        <v>0.20209583875977297</v>
      </c>
      <c r="CG53" s="177">
        <v>0.2952540405196255</v>
      </c>
      <c r="CH53" s="177">
        <v>1.5049418185614153E-2</v>
      </c>
      <c r="CI53" s="177">
        <v>0.12848470350928728</v>
      </c>
      <c r="CJ53" s="177">
        <v>0.11807215041719864</v>
      </c>
      <c r="CK53" s="177">
        <v>6.7069405840866611E-2</v>
      </c>
      <c r="CL53" s="177">
        <v>0.10690097295588265</v>
      </c>
      <c r="CM53" s="177">
        <v>5.1546083411090689E-2</v>
      </c>
      <c r="CN53" s="177">
        <v>0.14362558052187613</v>
      </c>
      <c r="CO53" s="177">
        <v>0</v>
      </c>
      <c r="CP53" s="177">
        <v>2.9541622531932057E-2</v>
      </c>
      <c r="CQ53" s="177">
        <v>1.6131903208280226E-2</v>
      </c>
      <c r="CR53" s="177">
        <v>0</v>
      </c>
      <c r="CS53" s="177">
        <v>5.6978057610655122E-2</v>
      </c>
      <c r="CT53" s="177">
        <v>0.27449736821830406</v>
      </c>
      <c r="CU53" s="177">
        <v>0.15715249446281565</v>
      </c>
      <c r="CV53" s="177">
        <v>0.10148260363496688</v>
      </c>
      <c r="CW53" s="177">
        <v>9.2406784780096063E-2</v>
      </c>
      <c r="CX53" s="177">
        <v>8.3881978406479651E-2</v>
      </c>
      <c r="CY53" s="177">
        <v>2.709022905026277E-2</v>
      </c>
      <c r="CZ53" s="177">
        <v>2.5901190630213004E-2</v>
      </c>
    </row>
    <row r="54" spans="1:104" x14ac:dyDescent="0.2">
      <c r="C54" t="s">
        <v>192</v>
      </c>
      <c r="D54" s="177">
        <v>0.65849062449724149</v>
      </c>
      <c r="E54" s="181">
        <v>1.7711233668118356</v>
      </c>
      <c r="F54" s="177">
        <v>1.1534905215579827</v>
      </c>
      <c r="G54" s="177">
        <v>0.99960318761711719</v>
      </c>
      <c r="H54" s="177">
        <v>0</v>
      </c>
      <c r="I54" s="177">
        <v>7.8595153322546754E-2</v>
      </c>
      <c r="J54" s="177">
        <v>2.2290171277679764</v>
      </c>
      <c r="K54" s="177">
        <v>1.4555786017152672</v>
      </c>
      <c r="L54" s="177">
        <v>0.20804880050517691</v>
      </c>
      <c r="M54" s="177">
        <v>0.11232424276613204</v>
      </c>
      <c r="N54" s="177">
        <v>0.4495156045955977</v>
      </c>
      <c r="O54" s="177">
        <v>0.8224078043060723</v>
      </c>
      <c r="P54" s="177">
        <v>0.45355718537630213</v>
      </c>
      <c r="Q54" s="177">
        <v>0.2233712214976831</v>
      </c>
      <c r="R54" s="177">
        <v>0.78030901479646952</v>
      </c>
      <c r="S54" s="177">
        <v>0.6245313622830575</v>
      </c>
      <c r="T54" s="177">
        <v>1.5199096534216967</v>
      </c>
      <c r="U54" s="177">
        <v>9.4128411774177564E-2</v>
      </c>
      <c r="V54" s="177">
        <v>0</v>
      </c>
      <c r="W54" s="177">
        <v>0.32133486894848801</v>
      </c>
      <c r="X54" s="177">
        <v>0.6391443571378469</v>
      </c>
      <c r="Y54" s="177">
        <v>0.2631054985942588</v>
      </c>
      <c r="Z54" s="177">
        <v>9.0107946081085782E-3</v>
      </c>
      <c r="AA54" s="177">
        <v>5.5079902433633456E-2</v>
      </c>
      <c r="AB54" s="177">
        <v>1.191028937288747</v>
      </c>
      <c r="AC54" s="177">
        <v>0.56572613767583679</v>
      </c>
      <c r="AD54" s="177">
        <v>0.96800346342743715</v>
      </c>
      <c r="AE54" s="177">
        <v>0.38546912844411385</v>
      </c>
      <c r="AF54" s="177">
        <v>2.4914887645937176</v>
      </c>
      <c r="AG54" s="177">
        <v>0.94190266613928142</v>
      </c>
      <c r="AH54" s="177">
        <v>0.18548827804280421</v>
      </c>
      <c r="AI54" s="177">
        <v>0.20071324215224998</v>
      </c>
      <c r="AJ54" s="177">
        <v>1.1953799229911486</v>
      </c>
      <c r="AK54" s="177">
        <v>0.35526750697857479</v>
      </c>
      <c r="AL54" s="177">
        <v>0.24444283463010788</v>
      </c>
      <c r="AM54" s="177">
        <v>1.3941827328139798</v>
      </c>
      <c r="AN54" s="177">
        <v>1.2973407263294296</v>
      </c>
      <c r="AO54" s="177">
        <v>1.1408637455297872</v>
      </c>
      <c r="AP54" s="177">
        <v>1.968799644270762</v>
      </c>
      <c r="AQ54" s="177">
        <v>0.72595999408588963</v>
      </c>
      <c r="AR54" s="177">
        <v>1.3956673928315313</v>
      </c>
      <c r="AS54" s="177">
        <v>0.21397508814744626</v>
      </c>
      <c r="AT54" s="177">
        <v>0.29764103270623621</v>
      </c>
      <c r="AU54" s="177">
        <v>0.82236637904647458</v>
      </c>
      <c r="AV54" s="177">
        <v>7.0194547902535862E-2</v>
      </c>
      <c r="AW54" s="177">
        <v>0.78155762517653105</v>
      </c>
      <c r="AX54" s="177">
        <v>1.3337365894698076E-2</v>
      </c>
      <c r="AY54" s="177">
        <v>0.93009004103725557</v>
      </c>
      <c r="AZ54" s="177">
        <v>0.89127360734161842</v>
      </c>
      <c r="BA54" s="177">
        <v>0.17965844338676185</v>
      </c>
      <c r="BB54" s="177">
        <v>5.7422876178478868E-2</v>
      </c>
      <c r="BC54" s="177">
        <v>0.66394824250437567</v>
      </c>
      <c r="BD54" s="177">
        <v>6.1908989779702495E-2</v>
      </c>
      <c r="BE54" s="177">
        <v>0.53655711161030339</v>
      </c>
      <c r="BF54" s="177">
        <v>0.42423628724817092</v>
      </c>
      <c r="BG54" s="177">
        <v>0.17007434022553319</v>
      </c>
      <c r="BH54" s="177">
        <v>1.7748656797089715</v>
      </c>
      <c r="BI54" s="177">
        <v>0.15280447411121045</v>
      </c>
      <c r="BJ54" s="177">
        <v>0.25790336405390707</v>
      </c>
      <c r="BK54" s="177">
        <v>0.51333659492642225</v>
      </c>
      <c r="BL54" s="177">
        <v>0.60906138064900783</v>
      </c>
      <c r="BM54" s="177">
        <v>1.410103282590953</v>
      </c>
      <c r="BN54" s="177">
        <v>0.81274797938230803</v>
      </c>
      <c r="BO54" s="177">
        <v>0.28623012381900603</v>
      </c>
      <c r="BP54" s="177">
        <v>1.2525811321379244E-2</v>
      </c>
      <c r="BQ54" s="177">
        <v>2.5725464502253734</v>
      </c>
      <c r="BR54" s="177">
        <v>0.89744587418342114</v>
      </c>
      <c r="BS54" s="177">
        <v>0.2113682639834287</v>
      </c>
      <c r="BT54" s="177">
        <v>0.18796027346370961</v>
      </c>
      <c r="BU54" s="177">
        <v>0.93810400863068411</v>
      </c>
      <c r="BV54" s="177">
        <v>0.77480915164157338</v>
      </c>
      <c r="BW54" s="177">
        <v>0.44520633540107901</v>
      </c>
      <c r="BX54" s="177">
        <v>0.23326089625650384</v>
      </c>
      <c r="BY54" s="177">
        <v>0.24448244501113078</v>
      </c>
      <c r="BZ54" s="177">
        <v>0.39385655963603527</v>
      </c>
      <c r="CA54" s="177">
        <v>1.2944648836118564</v>
      </c>
      <c r="CB54" s="177">
        <v>0.53130855506441454</v>
      </c>
      <c r="CC54" s="177">
        <v>1.5375419722913879</v>
      </c>
      <c r="CD54" s="177">
        <v>0.45199461856891021</v>
      </c>
      <c r="CE54" s="177">
        <v>1.6885850871815693</v>
      </c>
      <c r="CF54" s="177">
        <v>1.0544130717901197</v>
      </c>
      <c r="CG54" s="177">
        <v>1.2653744593698235</v>
      </c>
      <c r="CH54" s="177">
        <v>8.5996675346366597E-2</v>
      </c>
      <c r="CI54" s="177">
        <v>0.67035497483106421</v>
      </c>
      <c r="CJ54" s="177">
        <v>0.7084329025031918</v>
      </c>
      <c r="CK54" s="177">
        <v>0.38325374766209497</v>
      </c>
      <c r="CL54" s="177">
        <v>0.53450486477941317</v>
      </c>
      <c r="CM54" s="177">
        <v>0.32555421101741489</v>
      </c>
      <c r="CN54" s="177">
        <v>0.9071089296118493</v>
      </c>
      <c r="CO54" s="177">
        <v>0</v>
      </c>
      <c r="CP54" s="177">
        <v>0.23633298025545646</v>
      </c>
      <c r="CQ54" s="177">
        <v>9.6791419249681349E-2</v>
      </c>
      <c r="CR54" s="177">
        <v>0</v>
      </c>
      <c r="CS54" s="177">
        <v>0.2848902880532756</v>
      </c>
      <c r="CT54" s="177">
        <v>1.432160182008543</v>
      </c>
      <c r="CU54" s="177">
        <v>0.81992605806686425</v>
      </c>
      <c r="CV54" s="177">
        <v>0.46838124754600091</v>
      </c>
      <c r="CW54" s="177">
        <v>0.48212235537441428</v>
      </c>
      <c r="CX54" s="177">
        <v>0.50329187043887791</v>
      </c>
      <c r="CY54" s="177">
        <v>0.19122514623714898</v>
      </c>
      <c r="CZ54" s="177">
        <v>0.14127922161934367</v>
      </c>
    </row>
    <row r="55" spans="1:104" x14ac:dyDescent="0.2">
      <c r="E55" s="180"/>
    </row>
    <row r="56" spans="1:104" x14ac:dyDescent="0.2">
      <c r="B56" t="s">
        <v>169</v>
      </c>
      <c r="C56" t="s">
        <v>187</v>
      </c>
      <c r="D56" s="177">
        <v>0</v>
      </c>
      <c r="E56" s="180">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row>
    <row r="57" spans="1:104" x14ac:dyDescent="0.2">
      <c r="C57" t="s">
        <v>188</v>
      </c>
      <c r="D57" s="177">
        <v>224.75</v>
      </c>
      <c r="E57" s="180">
        <v>228</v>
      </c>
      <c r="F57">
        <v>221</v>
      </c>
      <c r="G57">
        <v>239</v>
      </c>
      <c r="H57">
        <v>232</v>
      </c>
      <c r="I57">
        <v>226</v>
      </c>
      <c r="J57">
        <v>214</v>
      </c>
      <c r="K57">
        <v>219</v>
      </c>
      <c r="L57">
        <v>225</v>
      </c>
      <c r="M57">
        <v>233</v>
      </c>
      <c r="N57">
        <v>225</v>
      </c>
      <c r="O57">
        <v>226</v>
      </c>
      <c r="P57">
        <v>232</v>
      </c>
      <c r="Q57">
        <v>223</v>
      </c>
      <c r="R57">
        <v>217</v>
      </c>
      <c r="S57">
        <v>220</v>
      </c>
      <c r="T57">
        <v>228</v>
      </c>
      <c r="U57">
        <v>227</v>
      </c>
      <c r="V57">
        <v>232</v>
      </c>
      <c r="W57">
        <v>230</v>
      </c>
      <c r="X57">
        <v>233</v>
      </c>
      <c r="Y57">
        <v>219</v>
      </c>
      <c r="Z57">
        <v>230</v>
      </c>
      <c r="AA57">
        <v>236</v>
      </c>
      <c r="AB57">
        <v>231</v>
      </c>
      <c r="AC57">
        <v>233</v>
      </c>
      <c r="AD57">
        <v>224</v>
      </c>
      <c r="AE57">
        <v>236</v>
      </c>
      <c r="AF57">
        <v>236</v>
      </c>
      <c r="AG57">
        <v>223</v>
      </c>
      <c r="AH57">
        <v>214</v>
      </c>
      <c r="AI57">
        <v>229</v>
      </c>
      <c r="AJ57">
        <v>226</v>
      </c>
      <c r="AK57">
        <v>225</v>
      </c>
      <c r="AL57">
        <v>228</v>
      </c>
      <c r="AM57">
        <v>235</v>
      </c>
      <c r="AN57">
        <v>229</v>
      </c>
      <c r="AO57">
        <v>231</v>
      </c>
      <c r="AP57">
        <v>229</v>
      </c>
      <c r="AQ57">
        <v>223</v>
      </c>
      <c r="AR57">
        <v>238</v>
      </c>
      <c r="AS57">
        <v>205</v>
      </c>
      <c r="AT57">
        <v>211</v>
      </c>
      <c r="AU57">
        <v>236</v>
      </c>
      <c r="AV57">
        <v>222</v>
      </c>
      <c r="AW57">
        <v>235</v>
      </c>
      <c r="AX57">
        <v>214</v>
      </c>
      <c r="AY57">
        <v>229</v>
      </c>
      <c r="AZ57">
        <v>203</v>
      </c>
      <c r="BA57">
        <v>229</v>
      </c>
      <c r="BB57">
        <v>220</v>
      </c>
      <c r="BC57">
        <v>189</v>
      </c>
      <c r="BD57">
        <v>222</v>
      </c>
      <c r="BE57">
        <v>225</v>
      </c>
      <c r="BF57">
        <v>224</v>
      </c>
      <c r="BG57">
        <v>225</v>
      </c>
      <c r="BH57">
        <v>232</v>
      </c>
      <c r="BI57">
        <v>235</v>
      </c>
      <c r="BJ57">
        <v>225</v>
      </c>
      <c r="BK57">
        <v>237</v>
      </c>
      <c r="BL57">
        <v>229</v>
      </c>
      <c r="BM57">
        <v>211</v>
      </c>
      <c r="BN57">
        <v>216</v>
      </c>
      <c r="BO57">
        <v>209</v>
      </c>
      <c r="BP57">
        <v>212</v>
      </c>
      <c r="BQ57">
        <v>210</v>
      </c>
      <c r="BR57">
        <v>214</v>
      </c>
      <c r="BS57">
        <v>224</v>
      </c>
      <c r="BT57">
        <v>228</v>
      </c>
      <c r="BU57">
        <v>231</v>
      </c>
      <c r="BV57">
        <v>232</v>
      </c>
      <c r="BW57">
        <v>220</v>
      </c>
      <c r="BX57">
        <v>237</v>
      </c>
      <c r="BY57">
        <v>222</v>
      </c>
      <c r="BZ57">
        <v>221</v>
      </c>
      <c r="CA57">
        <v>228</v>
      </c>
      <c r="CB57">
        <v>233</v>
      </c>
      <c r="CC57">
        <v>214</v>
      </c>
      <c r="CD57">
        <v>232</v>
      </c>
      <c r="CE57">
        <v>227</v>
      </c>
      <c r="CF57">
        <v>229</v>
      </c>
      <c r="CG57">
        <v>229</v>
      </c>
      <c r="CH57">
        <v>225</v>
      </c>
      <c r="CI57">
        <v>234</v>
      </c>
      <c r="CJ57">
        <v>235</v>
      </c>
      <c r="CK57">
        <v>214</v>
      </c>
      <c r="CL57">
        <v>210</v>
      </c>
      <c r="CM57">
        <v>222</v>
      </c>
      <c r="CN57">
        <v>219</v>
      </c>
      <c r="CO57">
        <v>222</v>
      </c>
      <c r="CP57">
        <v>227</v>
      </c>
      <c r="CQ57">
        <v>231</v>
      </c>
      <c r="CR57">
        <v>204</v>
      </c>
      <c r="CS57">
        <v>230</v>
      </c>
      <c r="CT57">
        <v>229</v>
      </c>
      <c r="CU57">
        <v>226</v>
      </c>
      <c r="CV57">
        <v>232</v>
      </c>
      <c r="CW57">
        <v>231</v>
      </c>
      <c r="CX57">
        <v>192</v>
      </c>
      <c r="CY57">
        <v>229</v>
      </c>
      <c r="CZ57">
        <v>232</v>
      </c>
    </row>
    <row r="58" spans="1:104" x14ac:dyDescent="0.2">
      <c r="C58" t="s">
        <v>189</v>
      </c>
      <c r="D58" s="177">
        <v>0</v>
      </c>
      <c r="E58" s="180">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row>
    <row r="59" spans="1:104" x14ac:dyDescent="0.2">
      <c r="C59" t="s">
        <v>190</v>
      </c>
      <c r="D59" s="177">
        <v>224.75</v>
      </c>
      <c r="E59" s="180">
        <v>228</v>
      </c>
      <c r="F59">
        <v>221</v>
      </c>
      <c r="G59">
        <v>239</v>
      </c>
      <c r="H59">
        <v>232</v>
      </c>
      <c r="I59">
        <v>226</v>
      </c>
      <c r="J59">
        <v>214</v>
      </c>
      <c r="K59">
        <v>219</v>
      </c>
      <c r="L59">
        <v>225</v>
      </c>
      <c r="M59">
        <v>233</v>
      </c>
      <c r="N59">
        <v>225</v>
      </c>
      <c r="O59">
        <v>226</v>
      </c>
      <c r="P59">
        <v>232</v>
      </c>
      <c r="Q59">
        <v>223</v>
      </c>
      <c r="R59">
        <v>217</v>
      </c>
      <c r="S59">
        <v>220</v>
      </c>
      <c r="T59">
        <v>228</v>
      </c>
      <c r="U59">
        <v>227</v>
      </c>
      <c r="V59">
        <v>232</v>
      </c>
      <c r="W59">
        <v>230</v>
      </c>
      <c r="X59">
        <v>233</v>
      </c>
      <c r="Y59">
        <v>219</v>
      </c>
      <c r="Z59">
        <v>230</v>
      </c>
      <c r="AA59">
        <v>236</v>
      </c>
      <c r="AB59">
        <v>231</v>
      </c>
      <c r="AC59">
        <v>233</v>
      </c>
      <c r="AD59">
        <v>224</v>
      </c>
      <c r="AE59">
        <v>236</v>
      </c>
      <c r="AF59">
        <v>236</v>
      </c>
      <c r="AG59">
        <v>223</v>
      </c>
      <c r="AH59">
        <v>214</v>
      </c>
      <c r="AI59">
        <v>229</v>
      </c>
      <c r="AJ59">
        <v>226</v>
      </c>
      <c r="AK59">
        <v>225</v>
      </c>
      <c r="AL59">
        <v>228</v>
      </c>
      <c r="AM59">
        <v>235</v>
      </c>
      <c r="AN59">
        <v>229</v>
      </c>
      <c r="AO59">
        <v>231</v>
      </c>
      <c r="AP59">
        <v>229</v>
      </c>
      <c r="AQ59">
        <v>223</v>
      </c>
      <c r="AR59">
        <v>238</v>
      </c>
      <c r="AS59">
        <v>205</v>
      </c>
      <c r="AT59">
        <v>211</v>
      </c>
      <c r="AU59">
        <v>236</v>
      </c>
      <c r="AV59">
        <v>222</v>
      </c>
      <c r="AW59">
        <v>235</v>
      </c>
      <c r="AX59">
        <v>214</v>
      </c>
      <c r="AY59">
        <v>229</v>
      </c>
      <c r="AZ59">
        <v>203</v>
      </c>
      <c r="BA59">
        <v>229</v>
      </c>
      <c r="BB59">
        <v>220</v>
      </c>
      <c r="BC59">
        <v>189</v>
      </c>
      <c r="BD59">
        <v>222</v>
      </c>
      <c r="BE59">
        <v>225</v>
      </c>
      <c r="BF59">
        <v>224</v>
      </c>
      <c r="BG59">
        <v>225</v>
      </c>
      <c r="BH59">
        <v>232</v>
      </c>
      <c r="BI59">
        <v>235</v>
      </c>
      <c r="BJ59">
        <v>225</v>
      </c>
      <c r="BK59">
        <v>237</v>
      </c>
      <c r="BL59">
        <v>229</v>
      </c>
      <c r="BM59">
        <v>211</v>
      </c>
      <c r="BN59">
        <v>216</v>
      </c>
      <c r="BO59">
        <v>209</v>
      </c>
      <c r="BP59">
        <v>212</v>
      </c>
      <c r="BQ59">
        <v>210</v>
      </c>
      <c r="BR59">
        <v>214</v>
      </c>
      <c r="BS59">
        <v>224</v>
      </c>
      <c r="BT59">
        <v>228</v>
      </c>
      <c r="BU59">
        <v>231</v>
      </c>
      <c r="BV59">
        <v>232</v>
      </c>
      <c r="BW59">
        <v>220</v>
      </c>
      <c r="BX59">
        <v>237</v>
      </c>
      <c r="BY59">
        <v>222</v>
      </c>
      <c r="BZ59">
        <v>221</v>
      </c>
      <c r="CA59">
        <v>228</v>
      </c>
      <c r="CB59">
        <v>233</v>
      </c>
      <c r="CC59">
        <v>214</v>
      </c>
      <c r="CD59">
        <v>232</v>
      </c>
      <c r="CE59">
        <v>227</v>
      </c>
      <c r="CF59">
        <v>229</v>
      </c>
      <c r="CG59">
        <v>229</v>
      </c>
      <c r="CH59">
        <v>225</v>
      </c>
      <c r="CI59">
        <v>234</v>
      </c>
      <c r="CJ59">
        <v>235</v>
      </c>
      <c r="CK59">
        <v>214</v>
      </c>
      <c r="CL59">
        <v>210</v>
      </c>
      <c r="CM59">
        <v>222</v>
      </c>
      <c r="CN59">
        <v>219</v>
      </c>
      <c r="CO59">
        <v>222</v>
      </c>
      <c r="CP59">
        <v>227</v>
      </c>
      <c r="CQ59">
        <v>231</v>
      </c>
      <c r="CR59">
        <v>204</v>
      </c>
      <c r="CS59">
        <v>230</v>
      </c>
      <c r="CT59">
        <v>229</v>
      </c>
      <c r="CU59">
        <v>226</v>
      </c>
      <c r="CV59">
        <v>232</v>
      </c>
      <c r="CW59">
        <v>231</v>
      </c>
      <c r="CX59">
        <v>192</v>
      </c>
      <c r="CY59">
        <v>229</v>
      </c>
      <c r="CZ59">
        <v>232</v>
      </c>
    </row>
    <row r="60" spans="1:104" x14ac:dyDescent="0.2">
      <c r="C60" t="s">
        <v>191</v>
      </c>
      <c r="D60" s="177">
        <v>109.3857179519803</v>
      </c>
      <c r="E60" s="181">
        <v>114.43503197615998</v>
      </c>
      <c r="F60" s="177">
        <v>104.06734024657889</v>
      </c>
      <c r="G60" s="177">
        <v>117.19818636058488</v>
      </c>
      <c r="H60" s="177">
        <v>117.34463522103245</v>
      </c>
      <c r="I60" s="177">
        <v>107.15797886770939</v>
      </c>
      <c r="J60" s="177">
        <v>99.894642816102149</v>
      </c>
      <c r="K60" s="177">
        <v>108.20759050040989</v>
      </c>
      <c r="L60" s="177">
        <v>109.80713551965421</v>
      </c>
      <c r="M60" s="177">
        <v>113.13015061465505</v>
      </c>
      <c r="N60" s="177">
        <v>114.31701886635527</v>
      </c>
      <c r="O60" s="177">
        <v>107.97604216754641</v>
      </c>
      <c r="P60" s="177">
        <v>114.3087626521277</v>
      </c>
      <c r="Q60" s="177">
        <v>110.38485132810358</v>
      </c>
      <c r="R60" s="177">
        <v>101.64425332126889</v>
      </c>
      <c r="S60" s="177">
        <v>108.54868529474381</v>
      </c>
      <c r="T60" s="177">
        <v>111.25088413304596</v>
      </c>
      <c r="U60" s="177">
        <v>107.95486182211216</v>
      </c>
      <c r="V60" s="177">
        <v>111.24485462222989</v>
      </c>
      <c r="W60" s="177">
        <v>114.44287950706615</v>
      </c>
      <c r="X60" s="177">
        <v>114.68660227688716</v>
      </c>
      <c r="Y60" s="177">
        <v>107.91993961844055</v>
      </c>
      <c r="Z60" s="177">
        <v>111.01917937360192</v>
      </c>
      <c r="AA60" s="177">
        <v>116.24494198375731</v>
      </c>
      <c r="AB60" s="177">
        <v>111.83355672159247</v>
      </c>
      <c r="AC60" s="177">
        <v>113.83366977922785</v>
      </c>
      <c r="AD60" s="177">
        <v>105.05416717853937</v>
      </c>
      <c r="AE60" s="177">
        <v>116.08865459366446</v>
      </c>
      <c r="AF60" s="177">
        <v>116.2634150833433</v>
      </c>
      <c r="AG60" s="177">
        <v>105.54493553888476</v>
      </c>
      <c r="AH60" s="177">
        <v>101.83673006121798</v>
      </c>
      <c r="AI60" s="177">
        <v>109.74591513303807</v>
      </c>
      <c r="AJ60" s="177">
        <v>111.85496320080739</v>
      </c>
      <c r="AK60" s="177">
        <v>109.50959620249841</v>
      </c>
      <c r="AL60" s="177">
        <v>111.21919470264575</v>
      </c>
      <c r="AM60" s="177">
        <v>113.3529408148549</v>
      </c>
      <c r="AN60" s="177">
        <v>109.94025632460628</v>
      </c>
      <c r="AO60" s="177">
        <v>115.3231041296869</v>
      </c>
      <c r="AP60" s="177">
        <v>109.06484632208985</v>
      </c>
      <c r="AQ60" s="177">
        <v>110.73946926663795</v>
      </c>
      <c r="AR60" s="177">
        <v>117.01657466898307</v>
      </c>
      <c r="AS60" s="177">
        <v>100.9975442186342</v>
      </c>
      <c r="AT60" s="177">
        <v>95.401888208994166</v>
      </c>
      <c r="AU60" s="177">
        <v>115.91772853180323</v>
      </c>
      <c r="AV60" s="177">
        <v>104.15940155176069</v>
      </c>
      <c r="AW60" s="177">
        <v>117.11309833256468</v>
      </c>
      <c r="AX60" s="177">
        <v>109.97560039838372</v>
      </c>
      <c r="AY60" s="177">
        <v>110.68355671806442</v>
      </c>
      <c r="AZ60" s="177">
        <v>99.916355516916809</v>
      </c>
      <c r="BA60" s="177">
        <v>108.47133456141543</v>
      </c>
      <c r="BB60" s="177">
        <v>102.79243265853982</v>
      </c>
      <c r="BC60" s="177">
        <v>91.309357333953486</v>
      </c>
      <c r="BD60" s="177">
        <v>105.68471614084638</v>
      </c>
      <c r="BE60" s="177">
        <v>109.69545440327498</v>
      </c>
      <c r="BF60" s="177">
        <v>107.57624617572381</v>
      </c>
      <c r="BG60" s="177">
        <v>110.97085274500864</v>
      </c>
      <c r="BH60" s="177">
        <v>113.36094446171619</v>
      </c>
      <c r="BI60" s="177">
        <v>115.5645033807259</v>
      </c>
      <c r="BJ60" s="177">
        <v>109.81098922536181</v>
      </c>
      <c r="BK60" s="177">
        <v>115.54844225595785</v>
      </c>
      <c r="BL60" s="177">
        <v>110.21633604688618</v>
      </c>
      <c r="BM60" s="177">
        <v>104.26707801261358</v>
      </c>
      <c r="BN60" s="177">
        <v>104.48827367445664</v>
      </c>
      <c r="BO60" s="177">
        <v>100.49908175541832</v>
      </c>
      <c r="BP60" s="177">
        <v>100.65832642029618</v>
      </c>
      <c r="BQ60" s="177">
        <v>100.27630701450019</v>
      </c>
      <c r="BR60" s="177">
        <v>106.23022138660876</v>
      </c>
      <c r="BS60" s="177">
        <v>109.25930907407685</v>
      </c>
      <c r="BT60" s="177">
        <v>111.06943237726323</v>
      </c>
      <c r="BU60" s="177">
        <v>112.14043292004774</v>
      </c>
      <c r="BV60" s="177">
        <v>111.30138775040241</v>
      </c>
      <c r="BW60" s="177">
        <v>107.43886750610002</v>
      </c>
      <c r="BX60" s="177">
        <v>116.04451950215663</v>
      </c>
      <c r="BY60" s="177">
        <v>110.15863577304648</v>
      </c>
      <c r="BZ60" s="177">
        <v>106.79800395594553</v>
      </c>
      <c r="CA60" s="177">
        <v>108.31132135111889</v>
      </c>
      <c r="CB60" s="177">
        <v>115.26342069586826</v>
      </c>
      <c r="CC60" s="177">
        <v>107.25849178038327</v>
      </c>
      <c r="CD60" s="177">
        <v>112.5488674251892</v>
      </c>
      <c r="CE60" s="177">
        <v>112.10150404724287</v>
      </c>
      <c r="CF60" s="177">
        <v>109.60525068208541</v>
      </c>
      <c r="CG60" s="177">
        <v>110.23082087835668</v>
      </c>
      <c r="CH60" s="177">
        <v>109.89551847189367</v>
      </c>
      <c r="CI60" s="177">
        <v>115.52079220495753</v>
      </c>
      <c r="CJ60" s="177">
        <v>116.00234234430614</v>
      </c>
      <c r="CK60" s="177">
        <v>106.96144622583661</v>
      </c>
      <c r="CL60" s="177">
        <v>105.36973412995562</v>
      </c>
      <c r="CM60" s="177">
        <v>108.73257343457202</v>
      </c>
      <c r="CN60" s="177">
        <v>101.8492078788198</v>
      </c>
      <c r="CO60" s="177">
        <v>107.64526079582883</v>
      </c>
      <c r="CP60" s="177">
        <v>108.13121255158526</v>
      </c>
      <c r="CQ60" s="177">
        <v>114.4125777073845</v>
      </c>
      <c r="CR60" s="177">
        <v>101.87387335511995</v>
      </c>
      <c r="CS60" s="177">
        <v>111.2935904028641</v>
      </c>
      <c r="CT60" s="177">
        <v>108.96077757919267</v>
      </c>
      <c r="CU60" s="177">
        <v>109.95707469492797</v>
      </c>
      <c r="CV60" s="177">
        <v>112.63466161684143</v>
      </c>
      <c r="CW60" s="177">
        <v>114.07897376939428</v>
      </c>
      <c r="CX60" s="177">
        <v>97.335533218553422</v>
      </c>
      <c r="CY60" s="177">
        <v>114.11058257240812</v>
      </c>
      <c r="CZ60" s="177">
        <v>111.28128658139181</v>
      </c>
    </row>
    <row r="61" spans="1:104" x14ac:dyDescent="0.2">
      <c r="C61" t="s">
        <v>192</v>
      </c>
      <c r="D61" s="185" t="s">
        <v>195</v>
      </c>
      <c r="E61" s="182" t="s">
        <v>195</v>
      </c>
      <c r="F61" s="178" t="s">
        <v>195</v>
      </c>
      <c r="G61" s="178" t="s">
        <v>195</v>
      </c>
      <c r="H61" s="178" t="s">
        <v>195</v>
      </c>
      <c r="I61" s="178" t="s">
        <v>195</v>
      </c>
      <c r="J61" s="178" t="s">
        <v>195</v>
      </c>
      <c r="K61" s="178" t="s">
        <v>195</v>
      </c>
      <c r="L61" s="178" t="s">
        <v>195</v>
      </c>
      <c r="M61" s="178" t="s">
        <v>195</v>
      </c>
      <c r="N61" s="178" t="s">
        <v>195</v>
      </c>
      <c r="O61" s="178" t="s">
        <v>195</v>
      </c>
      <c r="P61" s="178" t="s">
        <v>195</v>
      </c>
      <c r="Q61" s="178" t="s">
        <v>195</v>
      </c>
      <c r="R61" s="178" t="s">
        <v>195</v>
      </c>
      <c r="S61" s="178" t="s">
        <v>195</v>
      </c>
      <c r="T61" s="178" t="s">
        <v>195</v>
      </c>
      <c r="U61" s="178" t="s">
        <v>195</v>
      </c>
      <c r="V61" s="178" t="s">
        <v>195</v>
      </c>
      <c r="W61" s="178" t="s">
        <v>195</v>
      </c>
      <c r="X61" s="178" t="s">
        <v>195</v>
      </c>
      <c r="Y61" s="178" t="s">
        <v>195</v>
      </c>
      <c r="Z61" s="178" t="s">
        <v>195</v>
      </c>
      <c r="AA61" s="178" t="s">
        <v>195</v>
      </c>
      <c r="AB61" s="178" t="s">
        <v>195</v>
      </c>
      <c r="AC61" s="178" t="s">
        <v>195</v>
      </c>
      <c r="AD61" s="178" t="s">
        <v>195</v>
      </c>
      <c r="AE61" s="178" t="s">
        <v>195</v>
      </c>
      <c r="AF61" s="178" t="s">
        <v>195</v>
      </c>
      <c r="AG61" s="178" t="s">
        <v>195</v>
      </c>
      <c r="AH61" s="178" t="s">
        <v>195</v>
      </c>
      <c r="AI61" s="178" t="s">
        <v>195</v>
      </c>
      <c r="AJ61" s="178" t="s">
        <v>195</v>
      </c>
      <c r="AK61" s="178" t="s">
        <v>195</v>
      </c>
      <c r="AL61" s="178" t="s">
        <v>195</v>
      </c>
      <c r="AM61" s="178" t="s">
        <v>195</v>
      </c>
      <c r="AN61" s="178" t="s">
        <v>195</v>
      </c>
      <c r="AO61" s="178" t="s">
        <v>195</v>
      </c>
      <c r="AP61" s="178" t="s">
        <v>195</v>
      </c>
      <c r="AQ61" s="178" t="s">
        <v>195</v>
      </c>
      <c r="AR61" s="178" t="s">
        <v>195</v>
      </c>
      <c r="AS61" s="178" t="s">
        <v>195</v>
      </c>
      <c r="AT61" s="178" t="s">
        <v>195</v>
      </c>
      <c r="AU61" s="178" t="s">
        <v>195</v>
      </c>
      <c r="AV61" s="178" t="s">
        <v>195</v>
      </c>
      <c r="AW61" s="178" t="s">
        <v>195</v>
      </c>
      <c r="AX61" s="178" t="s">
        <v>195</v>
      </c>
      <c r="AY61" s="178" t="s">
        <v>195</v>
      </c>
      <c r="AZ61" s="178" t="s">
        <v>195</v>
      </c>
      <c r="BA61" s="178" t="s">
        <v>195</v>
      </c>
      <c r="BB61" s="178" t="s">
        <v>195</v>
      </c>
      <c r="BC61" s="178" t="s">
        <v>195</v>
      </c>
      <c r="BD61" s="178" t="s">
        <v>195</v>
      </c>
      <c r="BE61" s="178" t="s">
        <v>195</v>
      </c>
      <c r="BF61" s="178" t="s">
        <v>195</v>
      </c>
      <c r="BG61" s="178" t="s">
        <v>195</v>
      </c>
      <c r="BH61" s="178" t="s">
        <v>195</v>
      </c>
      <c r="BI61" s="178" t="s">
        <v>195</v>
      </c>
      <c r="BJ61" s="178" t="s">
        <v>195</v>
      </c>
      <c r="BK61" s="178" t="s">
        <v>195</v>
      </c>
      <c r="BL61" s="178" t="s">
        <v>195</v>
      </c>
      <c r="BM61" s="178" t="s">
        <v>195</v>
      </c>
      <c r="BN61" s="178" t="s">
        <v>195</v>
      </c>
      <c r="BO61" s="178" t="s">
        <v>195</v>
      </c>
      <c r="BP61" s="178" t="s">
        <v>195</v>
      </c>
      <c r="BQ61" s="178" t="s">
        <v>195</v>
      </c>
      <c r="BR61" s="178" t="s">
        <v>195</v>
      </c>
      <c r="BS61" s="178" t="s">
        <v>195</v>
      </c>
      <c r="BT61" s="178" t="s">
        <v>195</v>
      </c>
      <c r="BU61" s="178" t="s">
        <v>195</v>
      </c>
      <c r="BV61" s="178" t="s">
        <v>195</v>
      </c>
      <c r="BW61" s="178" t="s">
        <v>195</v>
      </c>
      <c r="BX61" s="178" t="s">
        <v>195</v>
      </c>
      <c r="BY61" s="178" t="s">
        <v>195</v>
      </c>
      <c r="BZ61" s="178" t="s">
        <v>195</v>
      </c>
      <c r="CA61" s="178" t="s">
        <v>195</v>
      </c>
      <c r="CB61" s="178" t="s">
        <v>195</v>
      </c>
      <c r="CC61" s="178" t="s">
        <v>195</v>
      </c>
      <c r="CD61" s="178" t="s">
        <v>195</v>
      </c>
      <c r="CE61" s="178" t="s">
        <v>195</v>
      </c>
      <c r="CF61" s="178" t="s">
        <v>195</v>
      </c>
      <c r="CG61" s="178" t="s">
        <v>195</v>
      </c>
      <c r="CH61" s="178" t="s">
        <v>195</v>
      </c>
      <c r="CI61" s="178" t="s">
        <v>195</v>
      </c>
      <c r="CJ61" s="178" t="s">
        <v>195</v>
      </c>
      <c r="CK61" s="178" t="s">
        <v>195</v>
      </c>
      <c r="CL61" s="178" t="s">
        <v>195</v>
      </c>
      <c r="CM61" s="178" t="s">
        <v>195</v>
      </c>
      <c r="CN61" s="178" t="s">
        <v>195</v>
      </c>
      <c r="CO61" s="178" t="s">
        <v>195</v>
      </c>
      <c r="CP61" s="178" t="s">
        <v>195</v>
      </c>
      <c r="CQ61" s="178" t="s">
        <v>195</v>
      </c>
      <c r="CR61" s="178" t="s">
        <v>195</v>
      </c>
      <c r="CS61" s="178" t="s">
        <v>195</v>
      </c>
      <c r="CT61" s="178" t="s">
        <v>195</v>
      </c>
      <c r="CU61" s="178" t="s">
        <v>195</v>
      </c>
      <c r="CV61" s="178" t="s">
        <v>195</v>
      </c>
      <c r="CW61" s="178" t="s">
        <v>195</v>
      </c>
      <c r="CX61" s="178" t="s">
        <v>195</v>
      </c>
      <c r="CY61" s="178" t="s">
        <v>195</v>
      </c>
      <c r="CZ61" s="178" t="s">
        <v>195</v>
      </c>
    </row>
    <row r="62" spans="1:104" x14ac:dyDescent="0.2">
      <c r="E62" s="180"/>
    </row>
    <row r="63" spans="1:104" x14ac:dyDescent="0.2">
      <c r="A63" t="s">
        <v>193</v>
      </c>
      <c r="B63" t="s">
        <v>171</v>
      </c>
      <c r="C63" t="s">
        <v>187</v>
      </c>
      <c r="D63" s="177">
        <v>226.02</v>
      </c>
      <c r="E63" s="180">
        <v>233</v>
      </c>
      <c r="F63">
        <v>223</v>
      </c>
      <c r="G63">
        <v>239</v>
      </c>
      <c r="H63">
        <v>232</v>
      </c>
      <c r="I63">
        <v>227</v>
      </c>
      <c r="J63">
        <v>217</v>
      </c>
      <c r="K63">
        <v>219</v>
      </c>
      <c r="L63">
        <v>226</v>
      </c>
      <c r="M63">
        <v>234</v>
      </c>
      <c r="N63">
        <v>226</v>
      </c>
      <c r="O63">
        <v>226</v>
      </c>
      <c r="P63">
        <v>234</v>
      </c>
      <c r="Q63">
        <v>224</v>
      </c>
      <c r="R63">
        <v>220</v>
      </c>
      <c r="S63">
        <v>220</v>
      </c>
      <c r="T63">
        <v>229</v>
      </c>
      <c r="U63">
        <v>228</v>
      </c>
      <c r="V63">
        <v>232</v>
      </c>
      <c r="W63">
        <v>233</v>
      </c>
      <c r="X63">
        <v>235</v>
      </c>
      <c r="Y63">
        <v>220</v>
      </c>
      <c r="Z63">
        <v>231</v>
      </c>
      <c r="AA63">
        <v>238</v>
      </c>
      <c r="AB63">
        <v>231</v>
      </c>
      <c r="AC63">
        <v>234</v>
      </c>
      <c r="AD63">
        <v>224</v>
      </c>
      <c r="AE63">
        <v>237</v>
      </c>
      <c r="AF63">
        <v>237</v>
      </c>
      <c r="AG63">
        <v>223</v>
      </c>
      <c r="AH63">
        <v>216</v>
      </c>
      <c r="AI63">
        <v>231</v>
      </c>
      <c r="AJ63">
        <v>226</v>
      </c>
      <c r="AK63">
        <v>227</v>
      </c>
      <c r="AL63">
        <v>228</v>
      </c>
      <c r="AM63">
        <v>235</v>
      </c>
      <c r="AN63">
        <v>230</v>
      </c>
      <c r="AO63">
        <v>233</v>
      </c>
      <c r="AP63">
        <v>231</v>
      </c>
      <c r="AQ63">
        <v>226</v>
      </c>
      <c r="AR63">
        <v>239</v>
      </c>
      <c r="AS63">
        <v>205</v>
      </c>
      <c r="AT63">
        <v>212</v>
      </c>
      <c r="AU63">
        <v>237</v>
      </c>
      <c r="AV63">
        <v>223</v>
      </c>
      <c r="AW63">
        <v>238</v>
      </c>
      <c r="AX63">
        <v>215</v>
      </c>
      <c r="AY63">
        <v>230</v>
      </c>
      <c r="AZ63">
        <v>207</v>
      </c>
      <c r="BA63">
        <v>229</v>
      </c>
      <c r="BB63">
        <v>222</v>
      </c>
      <c r="BC63">
        <v>189</v>
      </c>
      <c r="BD63">
        <v>222</v>
      </c>
      <c r="BE63">
        <v>229</v>
      </c>
      <c r="BF63">
        <v>226</v>
      </c>
      <c r="BG63">
        <v>225</v>
      </c>
      <c r="BH63">
        <v>234</v>
      </c>
      <c r="BI63">
        <v>237</v>
      </c>
      <c r="BJ63">
        <v>226</v>
      </c>
      <c r="BK63">
        <v>238</v>
      </c>
      <c r="BL63">
        <v>230</v>
      </c>
      <c r="BM63">
        <v>214</v>
      </c>
      <c r="BN63">
        <v>217</v>
      </c>
      <c r="BO63">
        <v>209</v>
      </c>
      <c r="BP63">
        <v>213</v>
      </c>
      <c r="BQ63">
        <v>214</v>
      </c>
      <c r="BR63">
        <v>216</v>
      </c>
      <c r="BS63">
        <v>226</v>
      </c>
      <c r="BT63">
        <v>229</v>
      </c>
      <c r="BU63">
        <v>232</v>
      </c>
      <c r="BV63">
        <v>232</v>
      </c>
      <c r="BW63">
        <v>220</v>
      </c>
      <c r="BX63">
        <v>237</v>
      </c>
      <c r="BY63">
        <v>223</v>
      </c>
      <c r="BZ63">
        <v>222</v>
      </c>
      <c r="CA63">
        <v>229</v>
      </c>
      <c r="CB63">
        <v>233</v>
      </c>
      <c r="CC63">
        <v>219</v>
      </c>
      <c r="CD63">
        <v>233</v>
      </c>
      <c r="CE63">
        <v>232</v>
      </c>
      <c r="CF63">
        <v>230</v>
      </c>
      <c r="CG63">
        <v>230</v>
      </c>
      <c r="CH63">
        <v>226</v>
      </c>
      <c r="CI63">
        <v>236</v>
      </c>
      <c r="CJ63">
        <v>236</v>
      </c>
      <c r="CK63">
        <v>216</v>
      </c>
      <c r="CL63">
        <v>211</v>
      </c>
      <c r="CM63">
        <v>226</v>
      </c>
      <c r="CN63">
        <v>219</v>
      </c>
      <c r="CO63">
        <v>222</v>
      </c>
      <c r="CP63">
        <v>227</v>
      </c>
      <c r="CQ63">
        <v>231</v>
      </c>
      <c r="CR63">
        <v>206</v>
      </c>
      <c r="CS63">
        <v>230</v>
      </c>
      <c r="CT63">
        <v>229</v>
      </c>
      <c r="CU63">
        <v>230</v>
      </c>
      <c r="CV63">
        <v>232</v>
      </c>
      <c r="CW63">
        <v>233</v>
      </c>
      <c r="CX63">
        <v>193</v>
      </c>
      <c r="CY63">
        <v>229</v>
      </c>
      <c r="CZ63">
        <v>232</v>
      </c>
    </row>
    <row r="64" spans="1:104" x14ac:dyDescent="0.2">
      <c r="C64" t="s">
        <v>180</v>
      </c>
      <c r="D64" s="177">
        <v>0</v>
      </c>
      <c r="E64" s="180">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c r="BP64">
        <v>0</v>
      </c>
      <c r="BQ64">
        <v>0</v>
      </c>
      <c r="BR64">
        <v>0</v>
      </c>
      <c r="BS64">
        <v>0</v>
      </c>
      <c r="BT64">
        <v>0</v>
      </c>
      <c r="BU64">
        <v>0</v>
      </c>
      <c r="BV64">
        <v>0</v>
      </c>
      <c r="BW64">
        <v>0</v>
      </c>
      <c r="BX64">
        <v>0</v>
      </c>
      <c r="BY64">
        <v>0</v>
      </c>
      <c r="BZ64">
        <v>0</v>
      </c>
      <c r="CA64">
        <v>0</v>
      </c>
      <c r="CB64">
        <v>0</v>
      </c>
      <c r="CC64">
        <v>0</v>
      </c>
      <c r="CD64">
        <v>0</v>
      </c>
      <c r="CE64">
        <v>0</v>
      </c>
      <c r="CF64">
        <v>0</v>
      </c>
      <c r="CG64">
        <v>0</v>
      </c>
      <c r="CH64">
        <v>0</v>
      </c>
      <c r="CI64">
        <v>0</v>
      </c>
      <c r="CJ64">
        <v>0</v>
      </c>
      <c r="CK64">
        <v>0</v>
      </c>
      <c r="CL64">
        <v>0</v>
      </c>
      <c r="CM64">
        <v>0</v>
      </c>
      <c r="CN64">
        <v>0</v>
      </c>
      <c r="CO64">
        <v>0</v>
      </c>
      <c r="CP64">
        <v>0</v>
      </c>
      <c r="CQ64">
        <v>0</v>
      </c>
      <c r="CR64">
        <v>0</v>
      </c>
      <c r="CS64">
        <v>0</v>
      </c>
      <c r="CT64">
        <v>0</v>
      </c>
      <c r="CU64">
        <v>0</v>
      </c>
      <c r="CV64">
        <v>0</v>
      </c>
      <c r="CW64">
        <v>0</v>
      </c>
      <c r="CX64">
        <v>0</v>
      </c>
      <c r="CY64">
        <v>0</v>
      </c>
      <c r="CZ64">
        <v>0</v>
      </c>
    </row>
    <row r="65" spans="3:104" x14ac:dyDescent="0.2">
      <c r="C65" t="s">
        <v>181</v>
      </c>
      <c r="D65" s="177">
        <v>0</v>
      </c>
      <c r="E65" s="181">
        <v>0</v>
      </c>
      <c r="F65" s="177">
        <v>0</v>
      </c>
      <c r="G65" s="177">
        <v>0</v>
      </c>
      <c r="H65" s="177">
        <v>0</v>
      </c>
      <c r="I65" s="177">
        <v>0</v>
      </c>
      <c r="J65" s="177">
        <v>0</v>
      </c>
      <c r="K65" s="177">
        <v>0</v>
      </c>
      <c r="L65" s="177">
        <v>0</v>
      </c>
      <c r="M65" s="177">
        <v>0</v>
      </c>
      <c r="N65" s="177">
        <v>0</v>
      </c>
      <c r="O65" s="177">
        <v>0</v>
      </c>
      <c r="P65" s="177">
        <v>0</v>
      </c>
      <c r="Q65" s="177">
        <v>0</v>
      </c>
      <c r="R65" s="177">
        <v>0</v>
      </c>
      <c r="S65" s="177">
        <v>0</v>
      </c>
      <c r="T65" s="177">
        <v>0</v>
      </c>
      <c r="U65" s="177">
        <v>0</v>
      </c>
      <c r="V65" s="177">
        <v>0</v>
      </c>
      <c r="W65" s="177">
        <v>0</v>
      </c>
      <c r="X65" s="177">
        <v>0</v>
      </c>
      <c r="Y65" s="177">
        <v>0</v>
      </c>
      <c r="Z65" s="177">
        <v>0</v>
      </c>
      <c r="AA65" s="177">
        <v>0</v>
      </c>
      <c r="AB65" s="177">
        <v>0</v>
      </c>
      <c r="AC65" s="177">
        <v>0</v>
      </c>
      <c r="AD65" s="177">
        <v>0</v>
      </c>
      <c r="AE65" s="177">
        <v>0</v>
      </c>
      <c r="AF65" s="177">
        <v>0</v>
      </c>
      <c r="AG65" s="177">
        <v>0</v>
      </c>
      <c r="AH65" s="177">
        <v>0</v>
      </c>
      <c r="AI65" s="177">
        <v>0</v>
      </c>
      <c r="AJ65" s="177">
        <v>0</v>
      </c>
      <c r="AK65" s="177">
        <v>0</v>
      </c>
      <c r="AL65" s="177">
        <v>0</v>
      </c>
      <c r="AM65" s="177">
        <v>0</v>
      </c>
      <c r="AN65" s="177">
        <v>0</v>
      </c>
      <c r="AO65" s="177">
        <v>0</v>
      </c>
      <c r="AP65" s="177">
        <v>0</v>
      </c>
      <c r="AQ65" s="177">
        <v>0</v>
      </c>
      <c r="AR65" s="177">
        <v>0</v>
      </c>
      <c r="AS65" s="177">
        <v>0</v>
      </c>
      <c r="AT65" s="177">
        <v>0</v>
      </c>
      <c r="AU65" s="177">
        <v>0</v>
      </c>
      <c r="AV65" s="177">
        <v>0</v>
      </c>
      <c r="AW65" s="177">
        <v>0</v>
      </c>
      <c r="AX65" s="177">
        <v>0</v>
      </c>
      <c r="AY65" s="177">
        <v>0</v>
      </c>
      <c r="AZ65" s="177">
        <v>0</v>
      </c>
      <c r="BA65" s="177">
        <v>0</v>
      </c>
      <c r="BB65" s="177">
        <v>0</v>
      </c>
      <c r="BC65" s="177">
        <v>0</v>
      </c>
      <c r="BD65" s="177">
        <v>0</v>
      </c>
      <c r="BE65" s="177">
        <v>0</v>
      </c>
      <c r="BF65" s="177">
        <v>0</v>
      </c>
      <c r="BG65" s="177">
        <v>0</v>
      </c>
      <c r="BH65" s="177">
        <v>0</v>
      </c>
      <c r="BI65" s="177">
        <v>0</v>
      </c>
      <c r="BJ65" s="177">
        <v>0</v>
      </c>
      <c r="BK65" s="177">
        <v>0</v>
      </c>
      <c r="BL65" s="177">
        <v>0</v>
      </c>
      <c r="BM65" s="177">
        <v>0</v>
      </c>
      <c r="BN65" s="177">
        <v>0</v>
      </c>
      <c r="BO65" s="177">
        <v>0</v>
      </c>
      <c r="BP65" s="177">
        <v>0</v>
      </c>
      <c r="BQ65" s="177">
        <v>0</v>
      </c>
      <c r="BR65" s="177">
        <v>0</v>
      </c>
      <c r="BS65" s="177">
        <v>0</v>
      </c>
      <c r="BT65" s="177">
        <v>0</v>
      </c>
      <c r="BU65" s="177">
        <v>0</v>
      </c>
      <c r="BV65" s="177">
        <v>0</v>
      </c>
      <c r="BW65" s="177">
        <v>0</v>
      </c>
      <c r="BX65" s="177">
        <v>0</v>
      </c>
      <c r="BY65" s="177">
        <v>0</v>
      </c>
      <c r="BZ65" s="177">
        <v>0</v>
      </c>
      <c r="CA65" s="177">
        <v>0</v>
      </c>
      <c r="CB65" s="177">
        <v>0</v>
      </c>
      <c r="CC65" s="177">
        <v>0</v>
      </c>
      <c r="CD65" s="177">
        <v>0</v>
      </c>
      <c r="CE65" s="177">
        <v>0</v>
      </c>
      <c r="CF65" s="177">
        <v>0</v>
      </c>
      <c r="CG65" s="177">
        <v>0</v>
      </c>
      <c r="CH65" s="177">
        <v>0</v>
      </c>
      <c r="CI65" s="177">
        <v>0</v>
      </c>
      <c r="CJ65" s="177">
        <v>0</v>
      </c>
      <c r="CK65" s="177">
        <v>0</v>
      </c>
      <c r="CL65" s="177">
        <v>0</v>
      </c>
      <c r="CM65" s="177">
        <v>0</v>
      </c>
      <c r="CN65" s="177">
        <v>0</v>
      </c>
      <c r="CO65" s="177">
        <v>0</v>
      </c>
      <c r="CP65" s="177">
        <v>0</v>
      </c>
      <c r="CQ65" s="177">
        <v>0</v>
      </c>
      <c r="CR65" s="177">
        <v>0</v>
      </c>
      <c r="CS65" s="177">
        <v>0</v>
      </c>
      <c r="CT65" s="177">
        <v>0</v>
      </c>
      <c r="CU65" s="177">
        <v>0</v>
      </c>
      <c r="CV65" s="177">
        <v>0</v>
      </c>
      <c r="CW65" s="177">
        <v>0</v>
      </c>
      <c r="CX65" s="177">
        <v>0</v>
      </c>
      <c r="CY65" s="177">
        <v>0</v>
      </c>
      <c r="CZ65" s="177">
        <v>0</v>
      </c>
    </row>
    <row r="66" spans="3:104" x14ac:dyDescent="0.2">
      <c r="C66" t="s">
        <v>182</v>
      </c>
      <c r="D66" s="177">
        <v>0</v>
      </c>
      <c r="E66" s="181">
        <v>0</v>
      </c>
      <c r="F66" s="177">
        <v>0</v>
      </c>
      <c r="G66" s="177">
        <v>0</v>
      </c>
      <c r="H66" s="177">
        <v>0</v>
      </c>
      <c r="I66" s="177">
        <v>0</v>
      </c>
      <c r="J66" s="177">
        <v>0</v>
      </c>
      <c r="K66" s="177">
        <v>0</v>
      </c>
      <c r="L66" s="177">
        <v>0</v>
      </c>
      <c r="M66" s="177">
        <v>0</v>
      </c>
      <c r="N66" s="177">
        <v>0</v>
      </c>
      <c r="O66" s="177">
        <v>0</v>
      </c>
      <c r="P66" s="177">
        <v>0</v>
      </c>
      <c r="Q66" s="177">
        <v>0</v>
      </c>
      <c r="R66" s="177">
        <v>0</v>
      </c>
      <c r="S66" s="177">
        <v>0</v>
      </c>
      <c r="T66" s="177">
        <v>0</v>
      </c>
      <c r="U66" s="177">
        <v>0</v>
      </c>
      <c r="V66" s="177">
        <v>0</v>
      </c>
      <c r="W66" s="177">
        <v>0</v>
      </c>
      <c r="X66" s="177">
        <v>0</v>
      </c>
      <c r="Y66" s="177">
        <v>0</v>
      </c>
      <c r="Z66" s="177">
        <v>0</v>
      </c>
      <c r="AA66" s="177">
        <v>0</v>
      </c>
      <c r="AB66" s="177">
        <v>0</v>
      </c>
      <c r="AC66" s="177">
        <v>0</v>
      </c>
      <c r="AD66" s="177">
        <v>0</v>
      </c>
      <c r="AE66" s="177">
        <v>0</v>
      </c>
      <c r="AF66" s="177">
        <v>0</v>
      </c>
      <c r="AG66" s="177">
        <v>0</v>
      </c>
      <c r="AH66" s="177">
        <v>0</v>
      </c>
      <c r="AI66" s="177">
        <v>0</v>
      </c>
      <c r="AJ66" s="177">
        <v>0</v>
      </c>
      <c r="AK66" s="177">
        <v>0</v>
      </c>
      <c r="AL66" s="177">
        <v>0</v>
      </c>
      <c r="AM66" s="177">
        <v>0</v>
      </c>
      <c r="AN66" s="177">
        <v>0</v>
      </c>
      <c r="AO66" s="177">
        <v>0</v>
      </c>
      <c r="AP66" s="177">
        <v>0</v>
      </c>
      <c r="AQ66" s="177">
        <v>0</v>
      </c>
      <c r="AR66" s="177">
        <v>0</v>
      </c>
      <c r="AS66" s="177">
        <v>0</v>
      </c>
      <c r="AT66" s="177">
        <v>0</v>
      </c>
      <c r="AU66" s="177">
        <v>0</v>
      </c>
      <c r="AV66" s="177">
        <v>0</v>
      </c>
      <c r="AW66" s="177">
        <v>0</v>
      </c>
      <c r="AX66" s="177">
        <v>0</v>
      </c>
      <c r="AY66" s="177">
        <v>0</v>
      </c>
      <c r="AZ66" s="177">
        <v>0</v>
      </c>
      <c r="BA66" s="177">
        <v>0</v>
      </c>
      <c r="BB66" s="177">
        <v>0</v>
      </c>
      <c r="BC66" s="177">
        <v>0</v>
      </c>
      <c r="BD66" s="177">
        <v>0</v>
      </c>
      <c r="BE66" s="177">
        <v>0</v>
      </c>
      <c r="BF66" s="177">
        <v>0</v>
      </c>
      <c r="BG66" s="177">
        <v>0</v>
      </c>
      <c r="BH66" s="177">
        <v>0</v>
      </c>
      <c r="BI66" s="177">
        <v>0</v>
      </c>
      <c r="BJ66" s="177">
        <v>0</v>
      </c>
      <c r="BK66" s="177">
        <v>0</v>
      </c>
      <c r="BL66" s="177">
        <v>0</v>
      </c>
      <c r="BM66" s="177">
        <v>0</v>
      </c>
      <c r="BN66" s="177">
        <v>0</v>
      </c>
      <c r="BO66" s="177">
        <v>0</v>
      </c>
      <c r="BP66" s="177">
        <v>0</v>
      </c>
      <c r="BQ66" s="177">
        <v>0</v>
      </c>
      <c r="BR66" s="177">
        <v>0</v>
      </c>
      <c r="BS66" s="177">
        <v>0</v>
      </c>
      <c r="BT66" s="177">
        <v>0</v>
      </c>
      <c r="BU66" s="177">
        <v>0</v>
      </c>
      <c r="BV66" s="177">
        <v>0</v>
      </c>
      <c r="BW66" s="177">
        <v>0</v>
      </c>
      <c r="BX66" s="177">
        <v>0</v>
      </c>
      <c r="BY66" s="177">
        <v>0</v>
      </c>
      <c r="BZ66" s="177">
        <v>0</v>
      </c>
      <c r="CA66" s="177">
        <v>0</v>
      </c>
      <c r="CB66" s="177">
        <v>0</v>
      </c>
      <c r="CC66" s="177">
        <v>0</v>
      </c>
      <c r="CD66" s="177">
        <v>0</v>
      </c>
      <c r="CE66" s="177">
        <v>0</v>
      </c>
      <c r="CF66" s="177">
        <v>0</v>
      </c>
      <c r="CG66" s="177">
        <v>0</v>
      </c>
      <c r="CH66" s="177">
        <v>0</v>
      </c>
      <c r="CI66" s="177">
        <v>0</v>
      </c>
      <c r="CJ66" s="177">
        <v>0</v>
      </c>
      <c r="CK66" s="177">
        <v>0</v>
      </c>
      <c r="CL66" s="177">
        <v>0</v>
      </c>
      <c r="CM66" s="177">
        <v>0</v>
      </c>
      <c r="CN66" s="177">
        <v>0</v>
      </c>
      <c r="CO66" s="177">
        <v>0</v>
      </c>
      <c r="CP66" s="177">
        <v>0</v>
      </c>
      <c r="CQ66" s="177">
        <v>0</v>
      </c>
      <c r="CR66" s="177">
        <v>0</v>
      </c>
      <c r="CS66" s="177">
        <v>0</v>
      </c>
      <c r="CT66" s="177">
        <v>0</v>
      </c>
      <c r="CU66" s="177">
        <v>0</v>
      </c>
      <c r="CV66" s="177">
        <v>0</v>
      </c>
      <c r="CW66" s="177">
        <v>0</v>
      </c>
      <c r="CX66" s="177">
        <v>0</v>
      </c>
      <c r="CY66" s="177">
        <v>0</v>
      </c>
      <c r="CZ66" s="177">
        <v>0</v>
      </c>
    </row>
    <row r="67" spans="3:104" x14ac:dyDescent="0.2">
      <c r="E67" s="180"/>
    </row>
    <row r="68" spans="3:104" x14ac:dyDescent="0.2">
      <c r="E68" s="180"/>
    </row>
    <row r="69" spans="3:104" x14ac:dyDescent="0.2">
      <c r="E69" s="180"/>
    </row>
    <row r="70" spans="3:104" x14ac:dyDescent="0.2">
      <c r="E70" s="180"/>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166</v>
      </c>
    </row>
    <row r="4" spans="2:2" x14ac:dyDescent="0.2">
      <c r="B4" t="s">
        <v>169</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sortState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161</v>
      </c>
      <c r="C7" t="s">
        <v>138</v>
      </c>
      <c r="D7">
        <v>3</v>
      </c>
      <c r="E7">
        <v>50</v>
      </c>
      <c r="F7">
        <v>1</v>
      </c>
    </row>
    <row r="8" spans="1:6" x14ac:dyDescent="0.2">
      <c r="A8">
        <v>2</v>
      </c>
      <c r="B8" t="s">
        <v>164</v>
      </c>
      <c r="C8" t="s">
        <v>157</v>
      </c>
      <c r="D8">
        <v>4</v>
      </c>
      <c r="E8">
        <v>50</v>
      </c>
      <c r="F8">
        <v>2</v>
      </c>
    </row>
    <row r="9" spans="1:6" x14ac:dyDescent="0.2">
      <c r="A9">
        <v>3</v>
      </c>
      <c r="B9" t="s">
        <v>165</v>
      </c>
      <c r="C9" t="s">
        <v>157</v>
      </c>
      <c r="D9">
        <v>9</v>
      </c>
      <c r="E9">
        <v>50</v>
      </c>
      <c r="F9">
        <v>3</v>
      </c>
    </row>
    <row r="10" spans="1:6" x14ac:dyDescent="0.2">
      <c r="A10">
        <v>4</v>
      </c>
      <c r="B10" t="s">
        <v>167</v>
      </c>
      <c r="C10" t="s">
        <v>157</v>
      </c>
      <c r="D10">
        <v>14</v>
      </c>
      <c r="E10">
        <v>50</v>
      </c>
      <c r="F10">
        <v>4</v>
      </c>
    </row>
    <row r="11" spans="1:6" x14ac:dyDescent="0.2">
      <c r="A11">
        <v>5</v>
      </c>
      <c r="B11" t="s">
        <v>168</v>
      </c>
      <c r="C11" t="s">
        <v>157</v>
      </c>
      <c r="D11">
        <v>19</v>
      </c>
      <c r="E11">
        <v>50</v>
      </c>
      <c r="F11">
        <v>5</v>
      </c>
    </row>
    <row r="12" spans="1:6" x14ac:dyDescent="0.2">
      <c r="A12">
        <v>6</v>
      </c>
      <c r="B12" t="s">
        <v>163</v>
      </c>
      <c r="C12" t="s">
        <v>96</v>
      </c>
      <c r="D12">
        <v>3</v>
      </c>
      <c r="E12">
        <v>50</v>
      </c>
      <c r="F12">
        <v>6</v>
      </c>
    </row>
    <row r="13" spans="1:6" x14ac:dyDescent="0.2">
      <c r="A13">
        <v>7</v>
      </c>
      <c r="B13" t="s">
        <v>166</v>
      </c>
      <c r="C13" t="s">
        <v>96</v>
      </c>
      <c r="D13">
        <v>6</v>
      </c>
      <c r="E13">
        <v>50</v>
      </c>
      <c r="F13">
        <v>7</v>
      </c>
    </row>
    <row r="14" spans="1:6" x14ac:dyDescent="0.2">
      <c r="A14">
        <v>8</v>
      </c>
      <c r="B14" t="s">
        <v>169</v>
      </c>
      <c r="C14" t="s">
        <v>96</v>
      </c>
      <c r="D14">
        <v>9</v>
      </c>
      <c r="E14">
        <v>50</v>
      </c>
      <c r="F14">
        <v>8</v>
      </c>
    </row>
    <row r="15" spans="1:6" x14ac:dyDescent="0.2">
      <c r="A15">
        <v>9</v>
      </c>
      <c r="B15" t="s">
        <v>171</v>
      </c>
      <c r="C15" t="s">
        <v>172</v>
      </c>
      <c r="D15">
        <v>3</v>
      </c>
      <c r="E15">
        <v>50</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5">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122</v>
      </c>
    </row>
    <row r="2" spans="1:220" x14ac:dyDescent="0.2">
      <c r="B2" s="89"/>
    </row>
    <row r="3" spans="1:220" ht="13.5" thickBot="1" x14ac:dyDescent="0.25">
      <c r="B3" s="89"/>
    </row>
    <row r="4" spans="1:220" ht="16.5" thickBot="1" x14ac:dyDescent="0.3">
      <c r="A4" s="130" t="s">
        <v>127</v>
      </c>
      <c r="D4" s="152"/>
    </row>
    <row r="6" spans="1:220" s="130" customFormat="1" ht="15.75" x14ac:dyDescent="0.25">
      <c r="A6" s="150"/>
      <c r="B6" s="130" t="s">
        <v>128</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Hong Guo</cp:lastModifiedBy>
  <cp:lastPrinted>2003-03-27T18:40:25Z</cp:lastPrinted>
  <dcterms:created xsi:type="dcterms:W3CDTF">2000-07-26T14:58:13Z</dcterms:created>
  <dcterms:modified xsi:type="dcterms:W3CDTF">2016-01-17T21:24:56Z</dcterms:modified>
</cp:coreProperties>
</file>