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dhartvig\Google Drive\SimQuick project\"/>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<sst xmlns="http://schemas.openxmlformats.org/spreadsheetml/2006/main" count="1988" uniqueCount="163">
  <si>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</si>
  <si>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</si>
  <si>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</si>
  <si>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</si>
  <si>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</si>
  <si>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</si>
  <si>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</si>
  <si>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</si>
  <si>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</si>
  <si>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</si>
  <si>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</si>
  <si>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</si>
  <si>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</si>
  <si>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</si>
  <si>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</si>
  <si>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</si>
  <si>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</si>
  <si>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</si>
  <si>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</si>
  <si>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</si>
  <si>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</si>
  <si>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</si>
  <si>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</si>
  <si>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</si>
  <si>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</si>
  <si>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</si>
  <si>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</si>
  <si>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</si>
  <si>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</si>
  <si>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</si>
  <si>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</si>
  <si>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</si>
  <si>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</si>
  <si>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</si>
  <si>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</si>
  <si>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</si>
  <si>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</si>
  <si>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</si>
  <si>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</si>
  <si>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</si>
  <si>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</si>
  <si>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</si>
  <si>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</si>
  <si>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</si>
  <si>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</si>
  <si>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</si>
  <si>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</si>
  <si>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</si>
  <si>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</si>
  <si>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</si>
  <si>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</si>
  <si>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</si>
  <si>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</si>
  <si>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</si>
  <si>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</si>
  <si>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</si>
  <si>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</si>
  <si>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</si>
  <si>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</si>
  <si>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</si>
  <si>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</si>
  <si>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</si>
  <si>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</si>
  <si>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</si>
  <si>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</si>
  <si>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</si>
  <si>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</si>
  <si>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</si>
  <si>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</si>
  <si>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</si>
  <si>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</si>
  <si>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</si>
  <si>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</si>
  <si>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</si>
  <si>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</si>
  <si>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</si>
  <si>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</si>
  <si>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</si>
  <si>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</si>
  <si>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</si>
  <si>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</si>
  <si>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</si>
  <si>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</si>
  <si>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</si>
  <si>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</si>
  <si>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</si>
  <si>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</si>
  <si>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</si>
  <si>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</si>
  <si>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</si>
  <si>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</si>
  <si>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</si>
  <si>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</si>
  <si>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</si>
  <si>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</si>
  <si>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</si>
  <si>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</si>
  <si>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</si>
  <si>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</si>
  <si>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</si>
  <si>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</si>
  <si>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</si>
  <si>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</si>
  <si>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</si>
  <si>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</si>
  <si>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</si>
  <si>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</si>
  <si>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</si>
  <si>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</si>
  <si>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</si>
  <si>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</si>
  <si>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</si>
  <si>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</si>
  <si>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</si>
  <si>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</si>
  <si>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</si>
  <si>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</si>
  <si>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</si>
  <si>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</si>
  <si>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</si>
  <si>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</si>
  <si>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</si>
  <si>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</si>
  <si>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</si>
  <si>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</si>
  <si>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</si>
  <si>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</si>
  <si>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</si>
  <si>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</si>
  <si>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</si>
  <si>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</si>
  <si>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</si>
  <si>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</si>
  <si>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</si>
  <si>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</si>
  <si>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</si>
  <si>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</si>
  <si>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</si>
  <si>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</si>
  <si>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</si>
  <si>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</si>
  <si>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</si>
  <si>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</si>
  <si>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</si>
  <si>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</si>
  <si>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</si>
  <si>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</si>
  <si>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</si>
  <si>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</si>
  <si>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</si>
  <si>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</si>
  <si>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</si>
  <si>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</si>
  <si>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</si>
  <si>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</si>
  <si>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</si>
  <si>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</si>
  <si>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</si>
  <si>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Door</t>
  </si>
  <si>
    <t>Line</t>
  </si>
  <si>
    <t>SC</t>
  </si>
  <si>
    <t>Work Station</t>
  </si>
  <si>
    <t>© David Hartvigsen 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</si>
</sst>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75">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74"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6"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20"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21"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8"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C2" sqref="C2"/>
    </sheetView>
  </sheetViews>
  <sheetFormatPr defaultRowHeight="12.75" x14ac:dyDescent="0.2"/>
  <cols>
    <col min="1" max="1" width="8.28515625" style="89" customWidth="1"/>
    <col min="2" max="2" width="27" style="89" bestFit="1" customWidth="1"/>
    <col min="3" max="3" width="14.42578125" style="89" bestFit="1" customWidth="1"/>
    <col min="4" max="4" width="9.71093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c r="D6"/>
      <c r="E6"/>
      <c r="F6"/>
      <c r="G6"/>
      <c r="H6"/>
      <c r="I6"/>
      <c r="J6"/>
    </row>
    <row r="7" spans="1:10" ht="13.5" thickBot="1" x14ac:dyDescent="0.25">
      <c r="A7"/>
      <c r="B7" s="168" t="s">
        <v>141</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c r="C10"/>
      <c r="D10"/>
      <c r="E10"/>
      <c r="F10"/>
      <c r="G10"/>
      <c r="H10"/>
      <c r="I10"/>
      <c r="J10"/>
    </row>
    <row r="11" spans="1:10" x14ac:dyDescent="0.2">
      <c r="A11"/>
      <c r="B11"/>
      <c r="C11"/>
      <c r="D11"/>
      <c r="E11"/>
      <c r="F11"/>
      <c r="G11"/>
      <c r="H11"/>
      <c r="I11"/>
      <c r="J11"/>
    </row>
    <row r="12" spans="1:10" x14ac:dyDescent="0.2">
      <c r="A12"/>
      <c r="B12"/>
      <c r="C12"/>
      <c r="D12"/>
      <c r="E12"/>
      <c r="F12"/>
      <c r="G12"/>
      <c r="H12"/>
      <c r="I12"/>
      <c r="J12"/>
    </row>
    <row r="13" spans="1:10" x14ac:dyDescent="0.2">
      <c r="A13"/>
      <c r="B13"/>
      <c r="C13"/>
      <c r="D13"/>
      <c r="E13"/>
      <c r="F13"/>
      <c r="G13"/>
      <c r="H13"/>
      <c r="I13"/>
      <c r="J13"/>
    </row>
    <row r="14" spans="1:10" x14ac:dyDescent="0.2">
      <c r="A14"/>
      <c r="B14"/>
      <c r="C14"/>
      <c r="D14"/>
      <c r="E14"/>
      <c r="F14"/>
      <c r="G14"/>
      <c r="H14"/>
      <c r="I14"/>
      <c r="J14"/>
    </row>
    <row r="15" spans="1:10" x14ac:dyDescent="0.2">
      <c r="A15"/>
      <c r="B15"/>
      <c r="C15"/>
      <c r="D15"/>
      <c r="E15"/>
      <c r="F15"/>
      <c r="G15"/>
      <c r="H15"/>
      <c r="I15"/>
      <c r="J15"/>
    </row>
    <row r="16" spans="1:10" x14ac:dyDescent="0.2">
      <c r="A16"/>
      <c r="B16"/>
      <c r="C16"/>
      <c r="D16"/>
      <c r="E16"/>
      <c r="F16"/>
      <c r="G16"/>
      <c r="H16"/>
      <c r="I16"/>
      <c r="J16"/>
    </row>
    <row r="17" spans="1:10" x14ac:dyDescent="0.2">
      <c r="A17"/>
      <c r="B17"/>
      <c r="C17"/>
      <c r="D17"/>
      <c r="E17"/>
      <c r="F17"/>
      <c r="G17"/>
      <c r="H17"/>
      <c r="I17"/>
      <c r="J17"/>
    </row>
    <row r="18" spans="1:10" x14ac:dyDescent="0.2">
      <c r="A18"/>
      <c r="B18"/>
      <c r="C18"/>
      <c r="D18"/>
      <c r="E18"/>
      <c r="F18"/>
      <c r="G18"/>
      <c r="H18"/>
      <c r="I18"/>
      <c r="J18"/>
    </row>
    <row r="19" spans="1:10" x14ac:dyDescent="0.2">
      <c r="A19"/>
      <c r="B19"/>
      <c r="C19"/>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c r="C22"/>
      <c r="D22"/>
      <c r="E22"/>
      <c r="F22"/>
      <c r="G22"/>
      <c r="H22"/>
      <c r="I22"/>
      <c r="J22"/>
    </row>
    <row r="23" spans="1:10" x14ac:dyDescent="0.2">
      <c r="A23"/>
      <c r="B23"/>
      <c r="C23"/>
      <c r="D23"/>
      <c r="E23"/>
      <c r="F23"/>
      <c r="G23"/>
      <c r="H23"/>
      <c r="I23"/>
      <c r="J23"/>
    </row>
    <row r="24" spans="1:10" x14ac:dyDescent="0.2">
      <c r="A24"/>
      <c r="B24"/>
      <c r="C24"/>
      <c r="D24"/>
      <c r="E24"/>
      <c r="F24"/>
      <c r="G24"/>
      <c r="H24"/>
      <c r="I24"/>
      <c r="J24"/>
    </row>
    <row r="25" spans="1:10" x14ac:dyDescent="0.2">
      <c r="A25"/>
      <c r="B25"/>
      <c r="C25"/>
      <c r="D25"/>
      <c r="E25"/>
      <c r="F25"/>
      <c r="G25"/>
      <c r="H25"/>
      <c r="I25"/>
      <c r="J25"/>
    </row>
    <row r="26" spans="1:10" x14ac:dyDescent="0.2">
      <c r="A26"/>
      <c r="B26"/>
      <c r="C26"/>
      <c r="D26"/>
      <c r="E26"/>
      <c r="F26"/>
      <c r="G26"/>
      <c r="H26"/>
      <c r="I26"/>
      <c r="J26"/>
    </row>
    <row r="27" spans="1:10" x14ac:dyDescent="0.2">
      <c r="A27"/>
      <c r="B27"/>
      <c r="C27"/>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c r="C30"/>
      <c r="D30"/>
      <c r="E3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c r="C33"/>
      <c r="D33"/>
      <c r="E33"/>
      <c r="F33"/>
      <c r="G33"/>
      <c r="H33"/>
      <c r="I33"/>
      <c r="J33"/>
    </row>
    <row r="34" spans="1:10" x14ac:dyDescent="0.2">
      <c r="A34"/>
      <c r="B34"/>
      <c r="C34"/>
      <c r="D34"/>
      <c r="E34"/>
      <c r="F34"/>
      <c r="G34"/>
      <c r="H34"/>
      <c r="I34"/>
      <c r="J34"/>
    </row>
    <row r="35" spans="1:10" x14ac:dyDescent="0.2">
      <c r="A35"/>
      <c r="B35"/>
      <c r="C35"/>
      <c r="D35"/>
      <c r="E35"/>
      <c r="F35"/>
      <c r="G35"/>
      <c r="H35"/>
      <c r="I35"/>
      <c r="J35"/>
    </row>
    <row r="36" spans="1:10" x14ac:dyDescent="0.2">
      <c r="A36"/>
      <c r="B36"/>
      <c r="C36"/>
      <c r="D36"/>
      <c r="E36"/>
      <c r="F36"/>
      <c r="G36"/>
      <c r="H36"/>
      <c r="I36"/>
      <c r="J36"/>
    </row>
    <row r="37" spans="1:10" x14ac:dyDescent="0.2">
      <c r="A37"/>
      <c r="B37"/>
      <c r="C37"/>
      <c r="D37"/>
      <c r="E37"/>
      <c r="F37"/>
      <c r="G37"/>
      <c r="H37"/>
      <c r="I37"/>
      <c r="J37"/>
    </row>
    <row r="38" spans="1:10" x14ac:dyDescent="0.2">
      <c r="A38"/>
      <c r="B38"/>
      <c r="C38"/>
      <c r="D38"/>
      <c r="E38"/>
      <c r="F38"/>
      <c r="G38"/>
      <c r="H38"/>
      <c r="I38"/>
      <c r="J38"/>
    </row>
    <row r="39" spans="1:10" x14ac:dyDescent="0.2">
      <c r="A39"/>
      <c r="B39"/>
      <c r="C39"/>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8">
    <dataValidation type="list" allowBlank="1" sqref="F13 E18:E19 C20 F20 C13 B18:B19 D25 B29:B30 F36 C36 E41:E42 B41:B42">
      <formula1>NameLabelRange</formula1>
    </dataValidation>
    <dataValidation type="list" allowBlank="1" sqref="F14 C14">
      <formula1>DistributionsEntsExits</formula1>
    </dataValidation>
    <dataValidation type="list" allowBlank="1" sqref="F15 C15">
      <formula1>DistributionsEntsExitObjPerArrDep</formula1>
    </dataValidation>
    <dataValidation type="list" allowBlank="1" sqref="F21 C21 F37 C37">
      <formula1>DistributionsBufferCap</formula1>
    </dataValidation>
    <dataValidation type="list" allowBlank="1" sqref="F22 C22 F38 C38">
      <formula1>DistributionsBuffersInitialObjects</formula1>
    </dataValidation>
    <dataValidation type="list" allowBlank="1" sqref="F25:F26 C29:C30 F41:F42 C41:C42">
      <formula1>WSNumOutputObjects</formula1>
    </dataValidation>
    <dataValidation type="list" allowBlank="1" sqref="D26">
      <formula1>DistributionsWorkStations</formula1>
    </dataValidation>
    <dataValidation type="list" allowBlank="1" sqref="D29:D30">
      <formula1>Resources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A5" sqref="A5"/>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162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c r="F15" s="93"/>
      <c r="G15" s="94"/>
      <c r="H15" s="95"/>
      <c r="I15" s="3"/>
      <c r="J15" s="3"/>
      <c r="K15" s="3"/>
      <c r="L15" s="3"/>
      <c r="M15" s="3"/>
      <c r="N15" s="3"/>
    </row>
    <row r="16" spans="1:14" ht="13.5" thickBot="1" x14ac:dyDescent="0.25">
      <c r="A16" s="3"/>
      <c r="B16" s="168" t="s">
        <v>141</v>
      </c>
      <c r="C16" s="16"/>
      <c r="D16" s="17"/>
      <c r="E16" s="18"/>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A2" sqref="A2"/>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B2" sqref="B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c r="C11" s="104"/>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A2" sqref="A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c r="D8" s="3"/>
      <c r="E8" s="172" t="s">
        <v>152</v>
      </c>
      <c r="F8" s="116"/>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c r="D9" s="3"/>
      <c r="E9" s="146" t="s">
        <v>153</v>
      </c>
      <c r="F9" s="60"/>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c r="C12" s="104"/>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F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C22">
      <formula1>BufferDetailsYesNo</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3" sqref="B3"/>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
      </c>
      <c r="D41" s="109" t="str">
        <f>IF(INDEX(Buffers!$A$6:$EV$21,'Data Val lists'!$A41,'Data Val lists'!D$34)="","",INDEX(Buffers!$A$6:$EV$21,'Data Val lists'!$A41,'Data Val lists'!D$34))</f>
        <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
      </c>
      <c r="F93" t="s">
        <v>103</v>
      </c>
      <c r="G93" t="str">
        <f>IF(AND(COUNTBLANK($F$93:F93)=1,COUNTBLANK(F94)=0),F94,IF(COUNTBLANK($F$93:F93)=0,F93,""))</f>
        <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G94" t="str">
        <f>IF(AND(COUNTBLANK($F$93:F94)=1,COUNTBLANK(F95)=0),F95,IF(COUNTBLANK($F$93:F94)=0,F94,""))</f>
        <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G95" t="str">
        <f>IF(AND(COUNTBLANK($F$93:F95)=1,COUNTBLANK(F96)=0),F96,IF(COUNTBLANK($F$93:F95)=0,F95,""))</f>
        <v/>
      </c>
      <c r="I95" s="89" t="s">
        <v>132</v>
      </c>
      <c r="N95" s="89" t="s">
        <v>132</v>
      </c>
      <c r="O95" s="89"/>
      <c r="Q95" s="89"/>
      <c r="R95" s="89" t="s">
        <v>132</v>
      </c>
      <c r="X95" s="89" t="s">
        <v>134</v>
      </c>
      <c r="AB95" s="89" t="s">
        <v>132</v>
      </c>
    </row>
    <row r="96" spans="1:251" x14ac:dyDescent="0.2">
      <c r="C96">
        <v>2</v>
      </c>
      <c r="D96">
        <f t="shared" si="1"/>
        <v>12</v>
      </c>
      <c r="E96" s="110" t="str">
        <f t="shared" si="0"/>
        <v/>
      </c>
      <c r="G96" t="str">
        <f>IF(AND(COUNTBLANK($F$93:F96)=1,COUNTBLANK(F97)=0),F97,IF(COUNTBLANK($F$93:F96)=0,F96,""))</f>
        <v/>
      </c>
      <c r="I96" s="89" t="s">
        <v>106</v>
      </c>
      <c r="N96" s="89" t="s">
        <v>106</v>
      </c>
      <c r="Q96" s="89"/>
      <c r="R96" s="89" t="s">
        <v>106</v>
      </c>
      <c r="AB96" s="89" t="s">
        <v>106</v>
      </c>
    </row>
    <row r="97" spans="3:28" x14ac:dyDescent="0.2">
      <c r="C97">
        <v>2</v>
      </c>
      <c r="D97">
        <f t="shared" si="1"/>
        <v>15</v>
      </c>
      <c r="E97" s="110" t="str">
        <f t="shared" si="0"/>
        <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
      </c>
      <c r="G693" t="str">
        <f>IF(AND(COUNTBLANK($F$93:F693)=1,COUNTBLANK(F694)=0),F694,IF(COUNTBLANK($F$93:F693)=0,F693,""))</f>
        <v/>
      </c>
    </row>
    <row r="694" spans="1:7" x14ac:dyDescent="0.2">
      <c r="A694" s="103" t="s">
        <v>100</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72" t="s">
        <v>155</v>
      </c>
      <c r="D20" s="121" t="s">
        <v>124</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4"/>
  <sheetViews>
    <sheetView workbookViewId="0">
      <selection activeCell="C2" sqref="C2"/>
    </sheetView>
  </sheetViews>
  <sheetFormatPr defaultRowHeight="12.75" x14ac:dyDescent="0.2"/>
  <cols>
    <col min="1" max="2" width="10.140625" customWidth="1"/>
    <col min="3" max="3" width="11.28515625" customWidth="1"/>
    <col min="4" max="4" width="12.28515625" customWidth="1"/>
    <col min="5" max="8" width="6.28515625" customWidth="1"/>
    <col min="9" max="10" width="7.85546875" customWidth="1"/>
    <col min="11" max="11" width="11.28515625" customWidth="1"/>
    <col min="12" max="12" width="7.85546875" customWidth="1"/>
    <col min="13" max="13" width="11.28515625" customWidth="1"/>
    <col min="14" max="14" width="7.85546875" customWidth="1"/>
    <col min="15" max="15" width="11.28515625" customWidth="1"/>
    <col min="16" max="17" width="7.85546875" customWidth="1"/>
    <col min="18" max="20" width="11.28515625" customWidth="1"/>
    <col min="21" max="21" width="7.85546875" customWidth="1"/>
    <col min="22" max="22" width="11.28515625" customWidth="1"/>
    <col min="23" max="24" width="7.85546875" customWidth="1"/>
    <col min="25" max="26" width="11.28515625" customWidth="1"/>
    <col min="27" max="28" width="7.85546875" customWidth="1"/>
    <col min="29" max="36" width="11.28515625" customWidth="1"/>
    <col min="37" max="39" width="7.85546875" customWidth="1"/>
    <col min="40" max="42" width="11.28515625" customWidth="1"/>
    <col min="43" max="44" width="7.85546875" customWidth="1"/>
    <col min="45" max="46" width="11.28515625" customWidth="1"/>
    <col min="47" max="47" width="7.85546875" customWidth="1"/>
    <col min="48" max="49" width="11.28515625" customWidth="1"/>
    <col min="50" max="50" width="7.85546875" customWidth="1"/>
    <col min="51" max="54" width="11.28515625" customWidth="1"/>
    <col min="55" max="55" width="7.85546875" customWidth="1"/>
    <col min="56" max="59" width="11.28515625" customWidth="1"/>
    <col min="60" max="60" width="7.85546875" customWidth="1"/>
    <col min="61" max="62" width="11.28515625" customWidth="1"/>
    <col min="63" max="63" width="7.85546875" customWidth="1"/>
    <col min="64" max="65" width="11.28515625" customWidth="1"/>
    <col min="66" max="67" width="7.85546875" customWidth="1"/>
    <col min="68" max="68" width="11.28515625" customWidth="1"/>
    <col min="69" max="69" width="7.85546875" customWidth="1"/>
    <col min="70" max="72" width="11.28515625" customWidth="1"/>
    <col min="73" max="74" width="7.85546875" customWidth="1"/>
    <col min="75" max="75" width="11.28515625" customWidth="1"/>
    <col min="76" max="76" width="7.85546875" customWidth="1"/>
    <col min="77" max="77" width="11.28515625" customWidth="1"/>
    <col min="78" max="78" width="7.85546875" customWidth="1"/>
    <col min="79" max="84" width="11.28515625" customWidth="1"/>
    <col min="85" max="87" width="7.85546875" customWidth="1"/>
    <col min="88" max="88" width="11.28515625" customWidth="1"/>
    <col min="89" max="91" width="7.85546875" customWidth="1"/>
    <col min="92" max="92" width="11.28515625" customWidth="1"/>
    <col min="93" max="93" width="7.85546875" customWidth="1"/>
    <col min="94" max="96" width="11.28515625" customWidth="1"/>
    <col min="97" max="99" width="7.85546875" customWidth="1"/>
    <col min="100" max="100" width="11.28515625" customWidth="1"/>
    <col min="101" max="103" width="7.85546875" customWidth="1"/>
    <col min="104" max="104" width="11.28515625" customWidth="1"/>
    <col min="105" max="204" width="11.28515625" bestFit="1" customWidth="1"/>
  </cols>
  <sheetData>
    <row r="1" spans="1:4" ht="18" x14ac:dyDescent="0.25">
      <c r="A1" s="1" t="s">
        <v>62</v>
      </c>
    </row>
    <row r="3" spans="1:4" ht="15.75" x14ac:dyDescent="0.25">
      <c r="A3" s="66" t="s">
        <v>63</v>
      </c>
      <c r="B3" s="80" t="s">
        <v>63</v>
      </c>
      <c r="C3" s="67" t="s">
        <v>64</v>
      </c>
      <c r="D3" s="130" t="s">
        <v>111</v>
      </c>
    </row>
    <row r="4" spans="1:4" ht="16.5" thickBot="1" x14ac:dyDescent="0.3">
      <c r="A4" s="84" t="s">
        <v>65</v>
      </c>
      <c r="B4" s="85" t="s">
        <v>66</v>
      </c>
      <c r="C4" s="86"/>
      <c r="D4" s="84">
        <v>1</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122</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139</v>
      </c>
      <c r="D7">
        <v>3</v>
      </c>
      <c r="E7">
        <v>50</v>
      </c>
      <c r="F7">
        <v>1</v>
      </c>
    </row>
    <row r="8" spans="1:6" x14ac:dyDescent="0.2">
      <c r="A8">
        <v>2</v>
      </c>
      <c r="B8" t="s">
        <v>122</v>
      </c>
      <c r="C8" t="s">
        <v>161</v>
      </c>
      <c r="D8">
        <v>4</v>
      </c>
      <c r="E8">
        <v>50</v>
      </c>
      <c r="F8">
        <v>2</v>
      </c>
    </row>
    <row r="9" spans="1:6" x14ac:dyDescent="0.2">
      <c r="A9">
        <v>3</v>
      </c>
      <c r="B9" t="s">
        <v>159</v>
      </c>
      <c r="C9" t="s">
        <v>96</v>
      </c>
      <c r="D9">
        <v>3</v>
      </c>
      <c r="E9">
        <v>50</v>
      </c>
      <c r="F9">
        <v>3</v>
      </c>
    </row>
    <row r="10" spans="1:6" x14ac:dyDescent="0.2">
      <c r="A10">
        <v>4</v>
      </c>
      <c r="B10" t="s">
        <v>160</v>
      </c>
      <c r="C10" t="s">
        <v>96</v>
      </c>
      <c r="D10">
        <v>6</v>
      </c>
      <c r="E10">
        <v>50</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NDAdmin</cp:lastModifiedBy>
  <cp:lastPrinted>2003-03-27T18:40:25Z</cp:lastPrinted>
  <dcterms:created xsi:type="dcterms:W3CDTF">2000-07-26T14:58:13Z</dcterms:created>
  <dcterms:modified xsi:type="dcterms:W3CDTF">2016-01-18T18:32:04Z</dcterms:modified>
</cp:coreProperties>
</file>