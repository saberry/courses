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ropbox\MGT 40750 Spring 2016\2. Process Simulation\"/>
    </mc:Choice>
  </mc:AlternateContent>
  <bookViews>
    <workbookView xWindow="0" yWindow="0" windowWidth="28800" windowHeight="11835" firstSheet="3"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<sst xmlns="http://schemas.openxmlformats.org/spreadsheetml/2006/main" count="2139" uniqueCount="193">
  <si>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</si>
  <si>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</si>
  <si>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</si>
  <si>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</si>
  <si>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</si>
  <si>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</si>
  <si>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</si>
  <si>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</si>
  <si>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</si>
  <si>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</si>
  <si>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</si>
  <si>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</si>
  <si>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</si>
  <si>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</si>
  <si>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</si>
  <si>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</si>
  <si>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</si>
  <si>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</si>
  <si>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</si>
  <si>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</si>
  <si>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</si>
  <si>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</si>
  <si>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</si>
  <si>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</si>
  <si>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</si>
  <si>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</si>
  <si>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</si>
  <si>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</si>
  <si>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</si>
  <si>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</si>
  <si>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</si>
  <si>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</si>
  <si>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</si>
  <si>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</si>
  <si>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</si>
  <si>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</si>
  <si>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</si>
  <si>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</si>
  <si>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</si>
  <si>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</si>
  <si>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</si>
  <si>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</si>
  <si>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</si>
  <si>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</si>
  <si>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</si>
  <si>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</si>
  <si>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</si>
  <si>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</si>
  <si>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</si>
  <si>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</si>
  <si>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</si>
  <si>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</si>
  <si>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</si>
  <si>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</si>
  <si>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</si>
  <si>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</si>
  <si>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</si>
  <si>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</si>
  <si>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</si>
  <si>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</si>
  <si>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</si>
  <si>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</si>
  <si>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</si>
  <si>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</si>
  <si>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</si>
  <si>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</si>
  <si>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</si>
  <si>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</si>
  <si>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</si>
  <si>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</si>
  <si>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</si>
  <si>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</si>
  <si>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</si>
  <si>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</si>
  <si>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</si>
  <si>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</si>
  <si>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</si>
  <si>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</si>
  <si>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</si>
  <si>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</si>
  <si>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</si>
  <si>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</si>
  <si>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</si>
  <si>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</si>
  <si>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</si>
  <si>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</si>
  <si>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</si>
  <si>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</si>
  <si>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</si>
  <si>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</si>
  <si>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</si>
  <si>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</si>
  <si>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</si>
  <si>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</si>
  <si>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</si>
  <si>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</si>
  <si>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</si>
  <si>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</si>
  <si>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</si>
  <si>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</si>
  <si>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</si>
  <si>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</si>
  <si>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</si>
  <si>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</si>
  <si>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</si>
  <si>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</si>
  <si>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</si>
  <si>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</si>
  <si>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</si>
  <si>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</si>
  <si>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</si>
  <si>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</si>
  <si>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</si>
  <si>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</si>
  <si>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</si>
  <si>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</si>
  <si>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</si>
  <si>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</si>
  <si>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</si>
  <si>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</si>
  <si>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</si>
  <si>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</si>
  <si>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</si>
  <si>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</si>
  <si>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</si>
  <si>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</si>
  <si>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</si>
  <si>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</si>
  <si>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</si>
  <si>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</si>
  <si>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</si>
  <si>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</si>
  <si>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</si>
  <si>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</si>
  <si>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</si>
  <si>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</si>
  <si>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</si>
  <si>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</si>
  <si>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</si>
  <si>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</si>
  <si>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</si>
  <si>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</si>
  <si>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</si>
  <si>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</si>
  <si>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</si>
  <si>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</si>
  <si>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</si>
  <si>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</si>
  <si>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</si>
  <si>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</si>
  <si>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</si>
  <si>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</si>
  <si>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</si>
  <si>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</si>
  <si>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</si>
  <si>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</si>
  <si>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</si>
  <si>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</si>
  <si>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</si>
  <si>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</si>
  <si>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Work Station</t>
  </si>
  <si>
    <t>© David Hartvigsen 2016</t>
  </si>
  <si>
    <t>Overall</t>
  </si>
  <si>
    <t>Means</t>
  </si>
  <si>
    <t>Served Customers</t>
  </si>
  <si>
    <t>Nor(2.4,0.5)</t>
  </si>
  <si>
    <t>Simulation Numbers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</si>
  <si>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</si>
  <si>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</si>
  <si>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</si>
  <si>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</si>
  <si>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</si>
  <si>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</si>
  <si>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</si>
  <si>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</si>
  <si>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</si>
  <si>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</si>
  <si>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</si>
  <si>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</si>
  <si>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</si>
  <si>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</si>
  <si>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</si>
  <si>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</si>
  <si>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</si>
  <si>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</si>
  <si>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</si>
  <si>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Working</t>
  </si>
  <si>
    <t>Infinite</t>
  </si>
  <si>
    <t>NA</t>
  </si>
  <si>
    <t>Entrances:</t>
  </si>
  <si>
    <t>Work Stations:</t>
  </si>
  <si>
    <t>Buffers:</t>
  </si>
  <si>
    <t>Nor(2,0.5)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</si>
</sst>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1" fillId="0" borderId="0" xfId="0" applyFont="1"/>
    <xf numFmtId="2" fontId="0" fillId="0" borderId="0" xfId="0" applyNumberFormat="1"/>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xf numFmtId="0" fontId="2" fillId="0" borderId="14" xfId="0" applyFont="1" applyFill="1" applyBorder="1" applyAlignment="1">
      <alignment horizontal="center"/>
    </xf>
    <xf numFmtId="0" fontId="0" fillId="0" borderId="4" xfId="0"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76"/>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10.7109375" style="89" bestFit="1" customWidth="1"/>
    <col min="5" max="5" width="15.85546875" style="89" bestFit="1" customWidth="1"/>
    <col min="6" max="6" width="16.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v>120</v>
      </c>
      <c r="D6"/>
      <c r="E6"/>
      <c r="F6"/>
      <c r="G6"/>
      <c r="H6"/>
      <c r="I6"/>
      <c r="J6"/>
    </row>
    <row r="7" spans="1:10" ht="13.5" thickBot="1" x14ac:dyDescent="0.25">
      <c r="A7"/>
      <c r="B7" s="168" t="s">
        <v>141</v>
      </c>
      <c r="C7" s="18">
        <v>30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5" t="s">
        <v>189</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142</v>
      </c>
      <c r="C13" s="124" t="s">
        <v>158</v>
      </c>
      <c r="D13"/>
      <c r="E13"/>
      <c r="F13"/>
      <c r="G13"/>
      <c r="H13"/>
      <c r="I13"/>
      <c r="J13"/>
    </row>
    <row r="14" spans="1:10" x14ac:dyDescent="0.2">
      <c r="A14"/>
      <c r="B14" s="170" t="s">
        <v>143</v>
      </c>
      <c r="C14" s="116" t="s">
        <v>31</v>
      </c>
      <c r="D14"/>
      <c r="E14"/>
      <c r="F14"/>
      <c r="G14"/>
      <c r="H14"/>
      <c r="I14"/>
      <c r="J14"/>
    </row>
    <row r="15" spans="1:10" ht="13.5" thickBot="1" x14ac:dyDescent="0.25">
      <c r="A15"/>
      <c r="B15" s="171" t="s">
        <v>144</v>
      </c>
      <c r="C15" s="37">
        <v>1</v>
      </c>
      <c r="D15"/>
      <c r="E15"/>
      <c r="F15"/>
      <c r="G15"/>
      <c r="H15"/>
      <c r="I15"/>
      <c r="J15"/>
    </row>
    <row r="16" spans="1:10" x14ac:dyDescent="0.2">
      <c r="A16"/>
      <c r="B16" s="39" t="s">
        <v>10</v>
      </c>
      <c r="C16" s="40"/>
      <c r="D16"/>
      <c r="E16"/>
      <c r="F16"/>
      <c r="G16"/>
      <c r="H16"/>
      <c r="I16"/>
      <c r="J16"/>
    </row>
    <row r="17" spans="1:10" ht="13.5" thickBot="1" x14ac:dyDescent="0.25">
      <c r="A17"/>
      <c r="B17" s="146" t="s">
        <v>145</v>
      </c>
      <c r="C17" s="42"/>
      <c r="D17"/>
      <c r="E17"/>
      <c r="F17"/>
      <c r="G17"/>
      <c r="H17"/>
      <c r="I17"/>
      <c r="J17"/>
    </row>
    <row r="18" spans="1:10" x14ac:dyDescent="0.2">
      <c r="A18"/>
      <c r="B18" s="108" t="s">
        <v>159</v>
      </c>
      <c r="C18" s="74"/>
      <c r="D18"/>
      <c r="E18"/>
      <c r="F18"/>
      <c r="G18"/>
      <c r="H18"/>
      <c r="I18"/>
      <c r="J18"/>
    </row>
    <row r="19" spans="1:10" ht="13.5" thickBot="1" x14ac:dyDescent="0.25">
      <c r="A19"/>
      <c r="B19" s="185"/>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75" t="s">
        <v>190</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142</v>
      </c>
      <c r="D25" s="104" t="s">
        <v>122</v>
      </c>
      <c r="E25" s="42"/>
      <c r="F25"/>
      <c r="G25"/>
      <c r="H25"/>
      <c r="I25"/>
      <c r="J25"/>
    </row>
    <row r="26" spans="1:10" ht="13.5" thickBot="1" x14ac:dyDescent="0.25">
      <c r="A26"/>
      <c r="B26" s="42"/>
      <c r="C26" s="172" t="s">
        <v>148</v>
      </c>
      <c r="D26" s="116" t="s">
        <v>165</v>
      </c>
      <c r="E26" s="42"/>
      <c r="F26"/>
      <c r="G26"/>
      <c r="H26"/>
      <c r="I26"/>
      <c r="J26"/>
    </row>
    <row r="27" spans="1:10" x14ac:dyDescent="0.2">
      <c r="A27"/>
      <c r="B27" s="39" t="s">
        <v>10</v>
      </c>
      <c r="C27" s="6" t="s">
        <v>17</v>
      </c>
      <c r="D27" s="165" t="s">
        <v>18</v>
      </c>
      <c r="E27" s="39" t="s">
        <v>18</v>
      </c>
      <c r="F27"/>
      <c r="G27"/>
      <c r="H27"/>
      <c r="I27"/>
      <c r="J27"/>
    </row>
    <row r="28" spans="1:10" ht="13.5" thickBot="1" x14ac:dyDescent="0.25">
      <c r="A28"/>
      <c r="B28" s="146" t="s">
        <v>145</v>
      </c>
      <c r="C28" s="173" t="s">
        <v>149</v>
      </c>
      <c r="D28" s="174" t="s">
        <v>150</v>
      </c>
      <c r="E28" s="146" t="s">
        <v>151</v>
      </c>
      <c r="F28"/>
      <c r="G28"/>
      <c r="H28"/>
      <c r="I28"/>
      <c r="J28"/>
    </row>
    <row r="29" spans="1:10" x14ac:dyDescent="0.2">
      <c r="A29"/>
      <c r="B29" s="107" t="s">
        <v>164</v>
      </c>
      <c r="C29" s="104">
        <v>1</v>
      </c>
      <c r="D29" s="54"/>
      <c r="E29" s="53"/>
      <c r="F29"/>
      <c r="G29"/>
      <c r="H29"/>
      <c r="I29"/>
      <c r="J29"/>
    </row>
    <row r="30" spans="1:10" ht="13.5" thickBot="1" x14ac:dyDescent="0.25">
      <c r="A30"/>
      <c r="B30" s="185"/>
      <c r="C30" s="60"/>
      <c r="D30" s="186"/>
      <c r="E30" s="6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s="175" t="s">
        <v>191</v>
      </c>
      <c r="C33"/>
      <c r="D33"/>
      <c r="E33"/>
      <c r="F33"/>
      <c r="G33"/>
      <c r="H33"/>
      <c r="I33"/>
      <c r="J33"/>
    </row>
    <row r="34" spans="1:10" x14ac:dyDescent="0.2">
      <c r="A34"/>
      <c r="B34"/>
      <c r="C34"/>
      <c r="D34"/>
      <c r="E34"/>
      <c r="F34"/>
      <c r="G34"/>
      <c r="H34"/>
      <c r="I34"/>
      <c r="J34"/>
    </row>
    <row r="35" spans="1:10" ht="13.5" thickBot="1" x14ac:dyDescent="0.25">
      <c r="A35"/>
      <c r="B35" s="33">
        <v>1</v>
      </c>
      <c r="C35" s="33"/>
      <c r="D35" s="33"/>
      <c r="E35" s="33">
        <v>2</v>
      </c>
      <c r="F35" s="33"/>
      <c r="G35"/>
      <c r="H35"/>
      <c r="I35"/>
      <c r="J35"/>
    </row>
    <row r="36" spans="1:10" ht="18.75" x14ac:dyDescent="0.3">
      <c r="A36"/>
      <c r="B36" s="118" t="s">
        <v>142</v>
      </c>
      <c r="C36" s="104" t="s">
        <v>159</v>
      </c>
      <c r="D36" s="3"/>
      <c r="E36" s="118" t="s">
        <v>142</v>
      </c>
      <c r="F36" s="104" t="s">
        <v>164</v>
      </c>
      <c r="G36"/>
      <c r="H36"/>
      <c r="I36"/>
      <c r="J36"/>
    </row>
    <row r="37" spans="1:10" x14ac:dyDescent="0.2">
      <c r="A37"/>
      <c r="B37" s="172" t="s">
        <v>152</v>
      </c>
      <c r="C37" s="116">
        <v>8</v>
      </c>
      <c r="D37" s="3"/>
      <c r="E37" s="172" t="s">
        <v>152</v>
      </c>
      <c r="F37" s="116" t="s">
        <v>113</v>
      </c>
      <c r="G37"/>
      <c r="H37"/>
      <c r="I37"/>
      <c r="J37"/>
    </row>
    <row r="38" spans="1:10" ht="13.5" thickBot="1" x14ac:dyDescent="0.25">
      <c r="A38"/>
      <c r="B38" s="146" t="s">
        <v>153</v>
      </c>
      <c r="C38" s="60">
        <v>0</v>
      </c>
      <c r="D38" s="3"/>
      <c r="E38" s="146" t="s">
        <v>153</v>
      </c>
      <c r="F38" s="60">
        <v>0</v>
      </c>
      <c r="G38"/>
      <c r="H38"/>
      <c r="I38"/>
      <c r="J38"/>
    </row>
    <row r="39" spans="1:10" x14ac:dyDescent="0.2">
      <c r="A39"/>
      <c r="B39" s="165" t="s">
        <v>10</v>
      </c>
      <c r="C39" s="39" t="s">
        <v>10</v>
      </c>
      <c r="D39" s="3"/>
      <c r="E39" s="165" t="s">
        <v>10</v>
      </c>
      <c r="F39" s="39" t="s">
        <v>10</v>
      </c>
      <c r="G39"/>
      <c r="H39"/>
      <c r="I39"/>
      <c r="J39"/>
    </row>
    <row r="40" spans="1:10" ht="13.5" thickBot="1" x14ac:dyDescent="0.25">
      <c r="A40"/>
      <c r="B40" s="174" t="s">
        <v>145</v>
      </c>
      <c r="C40" s="146" t="s">
        <v>154</v>
      </c>
      <c r="D40" s="3"/>
      <c r="E40" s="174" t="s">
        <v>145</v>
      </c>
      <c r="F40" s="146" t="s">
        <v>154</v>
      </c>
      <c r="G40"/>
      <c r="H40"/>
      <c r="I40"/>
      <c r="J40"/>
    </row>
    <row r="41" spans="1:10" x14ac:dyDescent="0.2">
      <c r="A41"/>
      <c r="B41" s="107" t="s">
        <v>122</v>
      </c>
      <c r="C41" s="104">
        <v>1</v>
      </c>
      <c r="D41" s="32"/>
      <c r="E41" s="107"/>
      <c r="F41" s="104"/>
      <c r="G41"/>
      <c r="H41"/>
      <c r="I41"/>
      <c r="J41"/>
    </row>
    <row r="42" spans="1:10" ht="13.5" thickBot="1" x14ac:dyDescent="0.25">
      <c r="A42"/>
      <c r="B42" s="185"/>
      <c r="C42" s="60"/>
      <c r="D42" s="32"/>
      <c r="E42" s="185"/>
      <c r="F42" s="60"/>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sheetData>
  <phoneticPr fontId="0" type="noConversion"/>
  <dataValidations count="14">
    <dataValidation type="list" allowBlank="1" sqref="F13 E18:E19 B21:B22 F28 B19 B30 E41:E42 B42">
      <formula1>NameLabelRange</formula1>
    </dataValidation>
    <dataValidation type="list" allowBlank="1" sqref="F14">
      <formula1>DistributionsEntsExits</formula1>
    </dataValidation>
    <dataValidation type="list" allowBlank="1" sqref="F15">
      <formula1>DistributionsEntsExitObjPerArrDep</formula1>
    </dataValidation>
    <dataValidation type="list" allowBlank="1" sqref="F29">
      <formula1>DistributionsBufferCap</formula1>
    </dataValidation>
    <dataValidation type="list" allowBlank="1" sqref="F30">
      <formula1>DistributionsBuffersInitialObjects</formula1>
    </dataValidation>
    <dataValidation type="list" allowBlank="1" sqref="C21:C22 C30 F41:F42 C42">
      <formula1>WSNumOutputObjects</formula1>
    </dataValidation>
    <dataValidation type="list" allowBlank="1" sqref="D21:D22 D29:D30">
      <formula1>Resources</formula1>
    </dataValidation>
    <dataValidation type="list" allowBlank="1" sqref="B18 C13 B29 D25 F36 B41 C36">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41">
      <formula1>WSNumOutputObjects</formula1>
    </dataValidation>
    <dataValidation type="list" allowBlank="1" sqref="D26">
      <formula1>DistributionsWorkStations</formula1>
    </dataValidation>
    <dataValidation type="list" allowBlank="1" sqref="F38 C38">
      <formula1>DistributionsBuffersInitialObjects</formula1>
    </dataValidation>
    <dataValidation type="list" allowBlank="1" sqref="F37 C37">
      <formula1>DistributionsBufferCap</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zoomScale="150" zoomScaleNormal="150" workbookViewId="0">
      <selection activeCell="G39" sqref="G39"/>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v>120</v>
      </c>
      <c r="F15" s="93"/>
      <c r="G15" s="94"/>
      <c r="H15" s="95"/>
      <c r="I15" s="3"/>
      <c r="J15" s="3"/>
      <c r="K15" s="3"/>
      <c r="L15" s="3"/>
      <c r="M15" s="3"/>
      <c r="N15" s="3"/>
    </row>
    <row r="16" spans="1:14" ht="13.5" thickBot="1" x14ac:dyDescent="0.25">
      <c r="A16" s="3"/>
      <c r="B16" s="168" t="s">
        <v>141</v>
      </c>
      <c r="C16" s="16"/>
      <c r="D16" s="17"/>
      <c r="E16" s="18">
        <v>30</v>
      </c>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158</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t="s">
        <v>31</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1</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159</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zoomScale="130" zoomScaleNormal="130" workbookViewId="0">
      <selection activeCell="D9" sqref="D9"/>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t="s">
        <v>122</v>
      </c>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t="s">
        <v>192</v>
      </c>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t="s">
        <v>164</v>
      </c>
      <c r="C11" s="104">
        <v>1</v>
      </c>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D7">
      <formula1>NameLabelRange</formula1>
    </dataValidation>
    <dataValidation type="list" allowBlank="1" sqref="B11">
      <formula1>NameLabelRange</formula1>
    </dataValidation>
    <dataValidation type="list" allowBlank="1" sqref="C11">
      <formula1>WSNumOutputObjects</formula1>
    </dataValidation>
    <dataValidation type="list" allowBlank="1" sqref="D8">
      <formula1>DistributionsWorkStations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E12" sqref="E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159</v>
      </c>
      <c r="D7" s="3"/>
      <c r="E7" s="118" t="s">
        <v>142</v>
      </c>
      <c r="F7" s="104" t="s">
        <v>164</v>
      </c>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8</v>
      </c>
      <c r="D8" s="3"/>
      <c r="E8" s="172" t="s">
        <v>152</v>
      </c>
      <c r="F8" s="116" t="s">
        <v>113</v>
      </c>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v>0</v>
      </c>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122</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22">
      <formula1>BufferDetailsYesNo</formula1>
    </dataValidation>
    <dataValidation type="list" allowBlank="1" sqref="F22">
      <formula1>BufferDetailsYesNo</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Door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Exp(2)</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Served Customers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8</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Teller</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Teller</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Nor(2,0.5)</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Served Customers</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Door</v>
      </c>
      <c r="F93" t="s">
        <v>103</v>
      </c>
      <c r="G93" t="str">
        <f>IF(AND(COUNTBLANK($F$93:F93)=1,COUNTBLANK(F94)=0),F94,IF(COUNTBLANK($F$93:F93)=0,F93,""))</f>
        <v>Door</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158</v>
      </c>
      <c r="G94" t="str">
        <f>IF(AND(COUNTBLANK($F$93:F94)=1,COUNTBLANK(F95)=0),F95,IF(COUNTBLANK($F$93:F94)=0,F94,""))</f>
        <v>Line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159</v>
      </c>
      <c r="G95" t="str">
        <f>IF(AND(COUNTBLANK($F$93:F95)=1,COUNTBLANK(F96)=0),F96,IF(COUNTBLANK($F$93:F95)=0,F95,""))</f>
        <v>Served Customers</v>
      </c>
      <c r="I95" s="89" t="s">
        <v>132</v>
      </c>
      <c r="N95" s="89" t="s">
        <v>132</v>
      </c>
      <c r="O95" s="89"/>
      <c r="Q95" s="89"/>
      <c r="R95" s="89" t="s">
        <v>132</v>
      </c>
      <c r="X95" s="89" t="s">
        <v>134</v>
      </c>
      <c r="AB95" s="89" t="s">
        <v>132</v>
      </c>
    </row>
    <row r="96" spans="1:251" x14ac:dyDescent="0.2">
      <c r="C96">
        <v>2</v>
      </c>
      <c r="D96">
        <f t="shared" si="1"/>
        <v>12</v>
      </c>
      <c r="E96" s="110" t="str">
        <f t="shared" si="0"/>
        <v/>
      </c>
      <c r="F96" t="s">
        <v>164</v>
      </c>
      <c r="G96" t="str">
        <f>IF(AND(COUNTBLANK($F$93:F96)=1,COUNTBLANK(F97)=0),F97,IF(COUNTBLANK($F$93:F96)=0,F96,""))</f>
        <v>Teller</v>
      </c>
      <c r="I96" s="89" t="s">
        <v>106</v>
      </c>
      <c r="N96" s="89" t="s">
        <v>106</v>
      </c>
      <c r="Q96" s="89"/>
      <c r="R96" s="89" t="s">
        <v>106</v>
      </c>
      <c r="AB96" s="89" t="s">
        <v>106</v>
      </c>
    </row>
    <row r="97" spans="3:28" x14ac:dyDescent="0.2">
      <c r="C97">
        <v>2</v>
      </c>
      <c r="D97">
        <f t="shared" si="1"/>
        <v>15</v>
      </c>
      <c r="E97" s="110" t="str">
        <f t="shared" si="0"/>
        <v/>
      </c>
      <c r="F97" t="s">
        <v>122</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Line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Line</v>
      </c>
      <c r="G693" t="str">
        <f>IF(AND(COUNTBLANK($F$93:F693)=1,COUNTBLANK(F694)=0),F694,IF(COUNTBLANK($F$93:F693)=0,F693,""))</f>
        <v/>
      </c>
    </row>
    <row r="694" spans="1:7" x14ac:dyDescent="0.2">
      <c r="A694" s="103" t="s">
        <v>100</v>
      </c>
      <c r="C694">
        <v>2</v>
      </c>
      <c r="D694">
        <f>3+D693</f>
        <v>6</v>
      </c>
      <c r="E694" s="110" t="str">
        <f t="shared" ref="E694:E757" si="29">INDEX($B$35:$EU$50,C694,D694)</f>
        <v>Served Customers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Teller</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Teller</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Served Customers</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88" t="s">
        <v>155</v>
      </c>
      <c r="D20" s="121" t="s">
        <v>124</v>
      </c>
      <c r="E20" s="3"/>
      <c r="G20" s="3"/>
      <c r="H20" s="88" t="s">
        <v>155</v>
      </c>
      <c r="I20" s="121" t="s">
        <v>124</v>
      </c>
      <c r="J20" s="3"/>
    </row>
    <row r="21" spans="2:10" x14ac:dyDescent="0.2">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34"/>
  <sheetViews>
    <sheetView workbookViewId="0">
      <selection activeCell="C2" sqref="C2"/>
    </sheetView>
  </sheetViews>
  <sheetFormatPr defaultRowHeight="12.75" x14ac:dyDescent="0.2"/>
  <cols>
    <col min="1" max="1" width="14.140625" customWidth="1"/>
    <col min="2" max="2" width="16.28515625" customWidth="1"/>
    <col min="3" max="3" width="23.42578125" customWidth="1"/>
    <col min="4" max="4" width="8.85546875" customWidth="1"/>
    <col min="5" max="60" width="7.85546875" customWidth="1"/>
    <col min="61" max="61" width="11.28515625" customWidth="1"/>
    <col min="62" max="104" width="7.85546875" customWidth="1"/>
    <col min="105" max="204" width="11.28515625" bestFit="1" customWidth="1"/>
  </cols>
  <sheetData>
    <row r="1" spans="1:34" ht="18" x14ac:dyDescent="0.25">
      <c r="A1" s="1" t="s">
        <v>62</v>
      </c>
    </row>
    <row r="3" spans="1:34" ht="15.75" x14ac:dyDescent="0.25">
      <c r="A3" s="66" t="s">
        <v>63</v>
      </c>
      <c r="B3" s="80" t="s">
        <v>63</v>
      </c>
      <c r="C3" s="67" t="s">
        <v>64</v>
      </c>
      <c r="D3" s="130" t="s">
        <v>162</v>
      </c>
      <c r="E3" s="178" t="s">
        <v>166</v>
      </c>
    </row>
    <row r="4" spans="1:34" ht="16.5" thickBot="1" x14ac:dyDescent="0.3">
      <c r="A4" s="84" t="s">
        <v>65</v>
      </c>
      <c r="B4" s="85" t="s">
        <v>66</v>
      </c>
      <c r="C4" s="86"/>
      <c r="D4" s="84" t="s">
        <v>163</v>
      </c>
      <c r="E4" s="178">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82"/>
      <c r="F5" s="183"/>
      <c r="G5" s="183"/>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c r="AG5" s="183"/>
      <c r="AH5" s="183"/>
    </row>
    <row r="6" spans="1:34" x14ac:dyDescent="0.2">
      <c r="A6" t="s">
        <v>167</v>
      </c>
      <c r="B6" t="s">
        <v>158</v>
      </c>
      <c r="C6" t="s">
        <v>168</v>
      </c>
      <c r="D6" s="176">
        <v>58.93333333333333</v>
      </c>
      <c r="E6" s="179">
        <v>64</v>
      </c>
      <c r="F6">
        <v>63</v>
      </c>
      <c r="G6">
        <v>58</v>
      </c>
      <c r="H6">
        <v>64</v>
      </c>
      <c r="I6">
        <v>53</v>
      </c>
      <c r="J6">
        <v>52</v>
      </c>
      <c r="K6">
        <v>59</v>
      </c>
      <c r="L6">
        <v>60</v>
      </c>
      <c r="M6">
        <v>65</v>
      </c>
      <c r="N6">
        <v>62</v>
      </c>
      <c r="O6">
        <v>57</v>
      </c>
      <c r="P6">
        <v>55</v>
      </c>
      <c r="Q6">
        <v>52</v>
      </c>
      <c r="R6">
        <v>60</v>
      </c>
      <c r="S6">
        <v>65</v>
      </c>
      <c r="T6">
        <v>55</v>
      </c>
      <c r="U6">
        <v>59</v>
      </c>
      <c r="V6">
        <v>62</v>
      </c>
      <c r="W6">
        <v>66</v>
      </c>
      <c r="X6">
        <v>54</v>
      </c>
      <c r="Y6">
        <v>62</v>
      </c>
      <c r="Z6">
        <v>57</v>
      </c>
      <c r="AA6">
        <v>62</v>
      </c>
      <c r="AB6">
        <v>43</v>
      </c>
      <c r="AC6">
        <v>66</v>
      </c>
      <c r="AD6">
        <v>48</v>
      </c>
      <c r="AE6">
        <v>59</v>
      </c>
      <c r="AF6">
        <v>61</v>
      </c>
      <c r="AG6">
        <v>65</v>
      </c>
      <c r="AH6">
        <v>60</v>
      </c>
    </row>
    <row r="7" spans="1:34" x14ac:dyDescent="0.2">
      <c r="C7" t="s">
        <v>169</v>
      </c>
      <c r="D7" s="176">
        <v>3.1333333333333333</v>
      </c>
      <c r="E7" s="179">
        <v>4</v>
      </c>
      <c r="F7">
        <v>4</v>
      </c>
      <c r="G7">
        <v>5</v>
      </c>
      <c r="H7">
        <v>9</v>
      </c>
      <c r="I7">
        <v>2</v>
      </c>
      <c r="J7">
        <v>2</v>
      </c>
      <c r="K7">
        <v>13</v>
      </c>
      <c r="L7">
        <v>0</v>
      </c>
      <c r="M7">
        <v>6</v>
      </c>
      <c r="N7">
        <v>0</v>
      </c>
      <c r="O7">
        <v>2</v>
      </c>
      <c r="P7">
        <v>2</v>
      </c>
      <c r="Q7">
        <v>0</v>
      </c>
      <c r="R7">
        <v>5</v>
      </c>
      <c r="S7">
        <v>0</v>
      </c>
      <c r="T7">
        <v>0</v>
      </c>
      <c r="U7">
        <v>0</v>
      </c>
      <c r="V7">
        <v>3</v>
      </c>
      <c r="W7">
        <v>9</v>
      </c>
      <c r="X7">
        <v>0</v>
      </c>
      <c r="Y7">
        <v>3</v>
      </c>
      <c r="Z7">
        <v>0</v>
      </c>
      <c r="AA7">
        <v>6</v>
      </c>
      <c r="AB7">
        <v>0</v>
      </c>
      <c r="AC7">
        <v>0</v>
      </c>
      <c r="AD7">
        <v>0</v>
      </c>
      <c r="AE7">
        <v>0</v>
      </c>
      <c r="AF7">
        <v>8</v>
      </c>
      <c r="AG7">
        <v>3</v>
      </c>
      <c r="AH7">
        <v>8</v>
      </c>
    </row>
    <row r="8" spans="1:34" x14ac:dyDescent="0.2">
      <c r="C8" t="s">
        <v>170</v>
      </c>
      <c r="D8" s="176">
        <v>0.95387333778813155</v>
      </c>
      <c r="E8" s="180">
        <v>0.94117647058823528</v>
      </c>
      <c r="F8" s="176">
        <v>0.94029850746268662</v>
      </c>
      <c r="G8" s="176">
        <v>0.92063492063492058</v>
      </c>
      <c r="H8" s="176">
        <v>0.87671232876712324</v>
      </c>
      <c r="I8" s="176">
        <v>0.96363636363636362</v>
      </c>
      <c r="J8" s="176">
        <v>0.96296296296296291</v>
      </c>
      <c r="K8" s="176">
        <v>0.81944444444444442</v>
      </c>
      <c r="L8" s="176">
        <v>1</v>
      </c>
      <c r="M8" s="176">
        <v>0.91549295774647887</v>
      </c>
      <c r="N8" s="176">
        <v>1</v>
      </c>
      <c r="O8" s="176">
        <v>0.96610169491525422</v>
      </c>
      <c r="P8" s="176">
        <v>0.96491228070175439</v>
      </c>
      <c r="Q8" s="176">
        <v>1</v>
      </c>
      <c r="R8" s="176">
        <v>0.92307692307692313</v>
      </c>
      <c r="S8" s="176">
        <v>1</v>
      </c>
      <c r="T8" s="176">
        <v>1</v>
      </c>
      <c r="U8" s="176">
        <v>1</v>
      </c>
      <c r="V8" s="176">
        <v>0.9538461538461539</v>
      </c>
      <c r="W8" s="176">
        <v>0.88</v>
      </c>
      <c r="X8" s="176">
        <v>1</v>
      </c>
      <c r="Y8" s="176">
        <v>0.9538461538461539</v>
      </c>
      <c r="Z8" s="176">
        <v>1</v>
      </c>
      <c r="AA8" s="176">
        <v>0.91176470588235292</v>
      </c>
      <c r="AB8" s="176">
        <v>1</v>
      </c>
      <c r="AC8" s="176">
        <v>1</v>
      </c>
      <c r="AD8" s="176">
        <v>1</v>
      </c>
      <c r="AE8" s="176">
        <v>1</v>
      </c>
      <c r="AF8" s="176">
        <v>0.88405797101449279</v>
      </c>
      <c r="AG8" s="176">
        <v>0.95588235294117652</v>
      </c>
      <c r="AH8" s="176">
        <v>0.88235294117647056</v>
      </c>
    </row>
    <row r="9" spans="1:34" x14ac:dyDescent="0.2">
      <c r="E9" s="179"/>
    </row>
    <row r="10" spans="1:34" x14ac:dyDescent="0.2">
      <c r="A10" t="s">
        <v>171</v>
      </c>
      <c r="B10" t="s">
        <v>122</v>
      </c>
      <c r="C10" t="s">
        <v>172</v>
      </c>
      <c r="D10" s="184" t="s">
        <v>188</v>
      </c>
      <c r="E10" s="179" t="s">
        <v>186</v>
      </c>
      <c r="F10" t="s">
        <v>186</v>
      </c>
      <c r="G10" t="s">
        <v>186</v>
      </c>
      <c r="H10" t="s">
        <v>186</v>
      </c>
      <c r="I10" t="s">
        <v>186</v>
      </c>
      <c r="J10" t="s">
        <v>186</v>
      </c>
      <c r="K10" t="s">
        <v>186</v>
      </c>
      <c r="L10" t="s">
        <v>186</v>
      </c>
      <c r="M10" t="s">
        <v>186</v>
      </c>
      <c r="N10" t="s">
        <v>186</v>
      </c>
      <c r="O10" t="s">
        <v>186</v>
      </c>
      <c r="P10" t="s">
        <v>186</v>
      </c>
      <c r="Q10" t="s">
        <v>186</v>
      </c>
      <c r="R10" t="s">
        <v>186</v>
      </c>
      <c r="S10" t="s">
        <v>186</v>
      </c>
      <c r="T10" t="s">
        <v>186</v>
      </c>
      <c r="U10" t="s">
        <v>186</v>
      </c>
      <c r="V10" t="s">
        <v>186</v>
      </c>
      <c r="W10" t="s">
        <v>186</v>
      </c>
      <c r="X10" t="s">
        <v>186</v>
      </c>
      <c r="Y10" t="s">
        <v>186</v>
      </c>
      <c r="Z10" t="s">
        <v>186</v>
      </c>
      <c r="AA10" t="s">
        <v>186</v>
      </c>
      <c r="AB10" t="s">
        <v>186</v>
      </c>
      <c r="AC10" t="s">
        <v>186</v>
      </c>
      <c r="AD10" t="s">
        <v>186</v>
      </c>
      <c r="AE10" t="s">
        <v>186</v>
      </c>
      <c r="AF10" t="s">
        <v>186</v>
      </c>
      <c r="AG10" t="s">
        <v>186</v>
      </c>
      <c r="AH10" t="s">
        <v>186</v>
      </c>
    </row>
    <row r="11" spans="1:34" x14ac:dyDescent="0.2">
      <c r="C11" t="s">
        <v>173</v>
      </c>
      <c r="D11" s="176">
        <v>0</v>
      </c>
      <c r="E11" s="179">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2">
      <c r="C12" t="s">
        <v>174</v>
      </c>
      <c r="D12" s="176">
        <v>0</v>
      </c>
      <c r="E12" s="180">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6">
        <v>0</v>
      </c>
      <c r="W12" s="176">
        <v>0</v>
      </c>
      <c r="X12" s="176">
        <v>0</v>
      </c>
      <c r="Y12" s="176">
        <v>0</v>
      </c>
      <c r="Z12" s="176">
        <v>0</v>
      </c>
      <c r="AA12" s="176">
        <v>0</v>
      </c>
      <c r="AB12" s="176">
        <v>0</v>
      </c>
      <c r="AC12" s="176">
        <v>0</v>
      </c>
      <c r="AD12" s="176">
        <v>0</v>
      </c>
      <c r="AE12" s="176">
        <v>0</v>
      </c>
      <c r="AF12" s="176">
        <v>0</v>
      </c>
      <c r="AG12" s="176">
        <v>0</v>
      </c>
      <c r="AH12" s="176">
        <v>0</v>
      </c>
    </row>
    <row r="13" spans="1:34" x14ac:dyDescent="0.2">
      <c r="C13" t="s">
        <v>175</v>
      </c>
      <c r="D13" s="176">
        <v>0</v>
      </c>
      <c r="E13" s="180">
        <v>0</v>
      </c>
      <c r="F13" s="176">
        <v>0</v>
      </c>
      <c r="G13" s="176">
        <v>0</v>
      </c>
      <c r="H13" s="176">
        <v>0</v>
      </c>
      <c r="I13" s="176">
        <v>0</v>
      </c>
      <c r="J13" s="176">
        <v>0</v>
      </c>
      <c r="K13" s="176">
        <v>0</v>
      </c>
      <c r="L13" s="176">
        <v>0</v>
      </c>
      <c r="M13" s="176">
        <v>0</v>
      </c>
      <c r="N13" s="176">
        <v>0</v>
      </c>
      <c r="O13" s="176">
        <v>0</v>
      </c>
      <c r="P13" s="176">
        <v>0</v>
      </c>
      <c r="Q13" s="176">
        <v>0</v>
      </c>
      <c r="R13" s="176">
        <v>0</v>
      </c>
      <c r="S13" s="176">
        <v>0</v>
      </c>
      <c r="T13" s="176">
        <v>0</v>
      </c>
      <c r="U13" s="176">
        <v>0</v>
      </c>
      <c r="V13" s="176">
        <v>0</v>
      </c>
      <c r="W13" s="176">
        <v>0</v>
      </c>
      <c r="X13" s="176">
        <v>0</v>
      </c>
      <c r="Y13" s="176">
        <v>0</v>
      </c>
      <c r="Z13" s="176">
        <v>0</v>
      </c>
      <c r="AA13" s="176">
        <v>0</v>
      </c>
      <c r="AB13" s="176">
        <v>0</v>
      </c>
      <c r="AC13" s="176">
        <v>0</v>
      </c>
      <c r="AD13" s="176">
        <v>0</v>
      </c>
      <c r="AE13" s="176">
        <v>0</v>
      </c>
      <c r="AF13" s="176">
        <v>0</v>
      </c>
      <c r="AG13" s="176">
        <v>0</v>
      </c>
      <c r="AH13" s="176">
        <v>0</v>
      </c>
    </row>
    <row r="14" spans="1:34" x14ac:dyDescent="0.2">
      <c r="C14" t="s">
        <v>176</v>
      </c>
      <c r="D14" s="176">
        <v>54.466666666666669</v>
      </c>
      <c r="E14" s="179">
        <v>56</v>
      </c>
      <c r="F14">
        <v>59</v>
      </c>
      <c r="G14">
        <v>52</v>
      </c>
      <c r="H14">
        <v>59</v>
      </c>
      <c r="I14">
        <v>51</v>
      </c>
      <c r="J14">
        <v>45</v>
      </c>
      <c r="K14">
        <v>53</v>
      </c>
      <c r="L14">
        <v>57</v>
      </c>
      <c r="M14">
        <v>58</v>
      </c>
      <c r="N14">
        <v>61</v>
      </c>
      <c r="O14">
        <v>53</v>
      </c>
      <c r="P14">
        <v>48</v>
      </c>
      <c r="Q14">
        <v>47</v>
      </c>
      <c r="R14">
        <v>59</v>
      </c>
      <c r="S14">
        <v>62</v>
      </c>
      <c r="T14">
        <v>53</v>
      </c>
      <c r="U14">
        <v>56</v>
      </c>
      <c r="V14">
        <v>57</v>
      </c>
      <c r="W14">
        <v>59</v>
      </c>
      <c r="X14">
        <v>47</v>
      </c>
      <c r="Y14">
        <v>60</v>
      </c>
      <c r="Z14">
        <v>53</v>
      </c>
      <c r="AA14">
        <v>57</v>
      </c>
      <c r="AB14">
        <v>42</v>
      </c>
      <c r="AC14">
        <v>60</v>
      </c>
      <c r="AD14">
        <v>45</v>
      </c>
      <c r="AE14">
        <v>54</v>
      </c>
      <c r="AF14">
        <v>59</v>
      </c>
      <c r="AG14">
        <v>58</v>
      </c>
      <c r="AH14">
        <v>54</v>
      </c>
    </row>
    <row r="15" spans="1:34" x14ac:dyDescent="0.2">
      <c r="C15" t="s">
        <v>177</v>
      </c>
      <c r="D15" s="176">
        <v>0.90024624043341883</v>
      </c>
      <c r="E15" s="180">
        <v>0.96974328240432706</v>
      </c>
      <c r="F15" s="176">
        <v>0.98953722196725225</v>
      </c>
      <c r="G15" s="176">
        <v>0.88323757492804966</v>
      </c>
      <c r="H15" s="176">
        <v>0.98787947745204385</v>
      </c>
      <c r="I15" s="176">
        <v>0.86828009684106011</v>
      </c>
      <c r="J15" s="176">
        <v>0.76130268070666252</v>
      </c>
      <c r="K15" s="176">
        <v>0.88613590434837586</v>
      </c>
      <c r="L15" s="176">
        <v>0.95658124414780332</v>
      </c>
      <c r="M15" s="176">
        <v>0.95857214488465525</v>
      </c>
      <c r="N15" s="176">
        <v>0.99516954669489865</v>
      </c>
      <c r="O15" s="176">
        <v>0.885577389221056</v>
      </c>
      <c r="P15" s="176">
        <v>0.78107720047914631</v>
      </c>
      <c r="Q15" s="176">
        <v>0.83503788365662968</v>
      </c>
      <c r="R15" s="176">
        <v>0.94222071339613467</v>
      </c>
      <c r="S15" s="176">
        <v>0.97957754486053672</v>
      </c>
      <c r="T15" s="176">
        <v>0.81876753722834406</v>
      </c>
      <c r="U15" s="176">
        <v>0.96303042247127024</v>
      </c>
      <c r="V15" s="176">
        <v>0.9323555737122301</v>
      </c>
      <c r="W15" s="176">
        <v>0.99086184499563079</v>
      </c>
      <c r="X15" s="176">
        <v>0.77938353105128932</v>
      </c>
      <c r="Y15" s="176">
        <v>0.9625517647387497</v>
      </c>
      <c r="Z15" s="176">
        <v>0.88850304563788773</v>
      </c>
      <c r="AA15" s="176">
        <v>0.91159279416178007</v>
      </c>
      <c r="AB15" s="176">
        <v>0.68911685786296439</v>
      </c>
      <c r="AC15" s="176">
        <v>0.91467716248197872</v>
      </c>
      <c r="AD15" s="176">
        <v>0.73891682716505569</v>
      </c>
      <c r="AE15" s="176">
        <v>0.8908027001112514</v>
      </c>
      <c r="AF15" s="176">
        <v>0.92657804030794066</v>
      </c>
      <c r="AG15" s="176">
        <v>0.95757542773519377</v>
      </c>
      <c r="AH15" s="176">
        <v>0.96274377735236816</v>
      </c>
    </row>
    <row r="16" spans="1:34" x14ac:dyDescent="0.2">
      <c r="C16" t="s">
        <v>178</v>
      </c>
      <c r="D16" s="176">
        <v>0</v>
      </c>
      <c r="E16" s="180">
        <v>0</v>
      </c>
      <c r="F16" s="176">
        <v>0</v>
      </c>
      <c r="G16" s="176">
        <v>0</v>
      </c>
      <c r="H16" s="176">
        <v>0</v>
      </c>
      <c r="I16" s="176">
        <v>0</v>
      </c>
      <c r="J16" s="176">
        <v>0</v>
      </c>
      <c r="K16" s="176">
        <v>0</v>
      </c>
      <c r="L16" s="176">
        <v>0</v>
      </c>
      <c r="M16" s="176">
        <v>0</v>
      </c>
      <c r="N16" s="176">
        <v>0</v>
      </c>
      <c r="O16" s="176">
        <v>0</v>
      </c>
      <c r="P16" s="176">
        <v>0</v>
      </c>
      <c r="Q16" s="176">
        <v>0</v>
      </c>
      <c r="R16" s="176">
        <v>0</v>
      </c>
      <c r="S16" s="176">
        <v>0</v>
      </c>
      <c r="T16" s="176">
        <v>0</v>
      </c>
      <c r="U16" s="176">
        <v>0</v>
      </c>
      <c r="V16" s="176">
        <v>0</v>
      </c>
      <c r="W16" s="176">
        <v>0</v>
      </c>
      <c r="X16" s="176">
        <v>0</v>
      </c>
      <c r="Y16" s="176">
        <v>0</v>
      </c>
      <c r="Z16" s="176">
        <v>0</v>
      </c>
      <c r="AA16" s="176">
        <v>0</v>
      </c>
      <c r="AB16" s="176">
        <v>0</v>
      </c>
      <c r="AC16" s="176">
        <v>0</v>
      </c>
      <c r="AD16" s="176">
        <v>0</v>
      </c>
      <c r="AE16" s="176">
        <v>0</v>
      </c>
      <c r="AF16" s="176">
        <v>0</v>
      </c>
      <c r="AG16" s="176">
        <v>0</v>
      </c>
      <c r="AH16" s="176">
        <v>0</v>
      </c>
    </row>
    <row r="17" spans="1:34" x14ac:dyDescent="0.2">
      <c r="E17" s="179"/>
    </row>
    <row r="18" spans="1:34" x14ac:dyDescent="0.2">
      <c r="A18" t="s">
        <v>179</v>
      </c>
      <c r="B18" t="s">
        <v>159</v>
      </c>
      <c r="C18" t="s">
        <v>180</v>
      </c>
      <c r="D18" s="176">
        <v>54.466666666666669</v>
      </c>
      <c r="E18" s="179">
        <v>56</v>
      </c>
      <c r="F18">
        <v>59</v>
      </c>
      <c r="G18">
        <v>52</v>
      </c>
      <c r="H18">
        <v>59</v>
      </c>
      <c r="I18">
        <v>51</v>
      </c>
      <c r="J18">
        <v>45</v>
      </c>
      <c r="K18">
        <v>53</v>
      </c>
      <c r="L18">
        <v>57</v>
      </c>
      <c r="M18">
        <v>58</v>
      </c>
      <c r="N18">
        <v>61</v>
      </c>
      <c r="O18">
        <v>53</v>
      </c>
      <c r="P18">
        <v>48</v>
      </c>
      <c r="Q18">
        <v>47</v>
      </c>
      <c r="R18">
        <v>59</v>
      </c>
      <c r="S18">
        <v>62</v>
      </c>
      <c r="T18">
        <v>53</v>
      </c>
      <c r="U18">
        <v>56</v>
      </c>
      <c r="V18">
        <v>57</v>
      </c>
      <c r="W18">
        <v>59</v>
      </c>
      <c r="X18">
        <v>47</v>
      </c>
      <c r="Y18">
        <v>60</v>
      </c>
      <c r="Z18">
        <v>53</v>
      </c>
      <c r="AA18">
        <v>57</v>
      </c>
      <c r="AB18">
        <v>42</v>
      </c>
      <c r="AC18">
        <v>60</v>
      </c>
      <c r="AD18">
        <v>45</v>
      </c>
      <c r="AE18">
        <v>54</v>
      </c>
      <c r="AF18">
        <v>59</v>
      </c>
      <c r="AG18">
        <v>58</v>
      </c>
      <c r="AH18">
        <v>54</v>
      </c>
    </row>
    <row r="19" spans="1:34" x14ac:dyDescent="0.2">
      <c r="C19" t="s">
        <v>181</v>
      </c>
      <c r="D19" s="176">
        <v>4.4666666666666668</v>
      </c>
      <c r="E19" s="179">
        <v>8</v>
      </c>
      <c r="F19">
        <v>4</v>
      </c>
      <c r="G19">
        <v>6</v>
      </c>
      <c r="H19">
        <v>5</v>
      </c>
      <c r="I19">
        <v>2</v>
      </c>
      <c r="J19">
        <v>7</v>
      </c>
      <c r="K19">
        <v>6</v>
      </c>
      <c r="L19">
        <v>3</v>
      </c>
      <c r="M19">
        <v>7</v>
      </c>
      <c r="N19">
        <v>1</v>
      </c>
      <c r="O19">
        <v>4</v>
      </c>
      <c r="P19">
        <v>7</v>
      </c>
      <c r="Q19">
        <v>5</v>
      </c>
      <c r="R19">
        <v>1</v>
      </c>
      <c r="S19">
        <v>3</v>
      </c>
      <c r="T19">
        <v>2</v>
      </c>
      <c r="U19">
        <v>3</v>
      </c>
      <c r="V19">
        <v>5</v>
      </c>
      <c r="W19">
        <v>7</v>
      </c>
      <c r="X19">
        <v>7</v>
      </c>
      <c r="Y19">
        <v>2</v>
      </c>
      <c r="Z19">
        <v>4</v>
      </c>
      <c r="AA19">
        <v>5</v>
      </c>
      <c r="AB19">
        <v>1</v>
      </c>
      <c r="AC19">
        <v>6</v>
      </c>
      <c r="AD19">
        <v>3</v>
      </c>
      <c r="AE19">
        <v>5</v>
      </c>
      <c r="AF19">
        <v>2</v>
      </c>
      <c r="AG19">
        <v>7</v>
      </c>
      <c r="AH19">
        <v>6</v>
      </c>
    </row>
    <row r="20" spans="1:34" x14ac:dyDescent="0.2">
      <c r="C20" t="s">
        <v>182</v>
      </c>
      <c r="D20" s="176">
        <v>0</v>
      </c>
      <c r="E20" s="179">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2">
      <c r="C21" t="s">
        <v>183</v>
      </c>
      <c r="D21" s="176">
        <v>7.4</v>
      </c>
      <c r="E21" s="179">
        <v>8</v>
      </c>
      <c r="F21">
        <v>8</v>
      </c>
      <c r="G21">
        <v>8</v>
      </c>
      <c r="H21">
        <v>8</v>
      </c>
      <c r="I21">
        <v>8</v>
      </c>
      <c r="J21">
        <v>8</v>
      </c>
      <c r="K21">
        <v>8</v>
      </c>
      <c r="L21">
        <v>6</v>
      </c>
      <c r="M21">
        <v>8</v>
      </c>
      <c r="N21">
        <v>8</v>
      </c>
      <c r="O21">
        <v>8</v>
      </c>
      <c r="P21">
        <v>8</v>
      </c>
      <c r="Q21">
        <v>7</v>
      </c>
      <c r="R21">
        <v>8</v>
      </c>
      <c r="S21">
        <v>8</v>
      </c>
      <c r="T21">
        <v>7</v>
      </c>
      <c r="U21">
        <v>5</v>
      </c>
      <c r="V21">
        <v>8</v>
      </c>
      <c r="W21">
        <v>8</v>
      </c>
      <c r="X21">
        <v>8</v>
      </c>
      <c r="Y21">
        <v>8</v>
      </c>
      <c r="Z21">
        <v>8</v>
      </c>
      <c r="AA21">
        <v>8</v>
      </c>
      <c r="AB21">
        <v>5</v>
      </c>
      <c r="AC21">
        <v>7</v>
      </c>
      <c r="AD21">
        <v>3</v>
      </c>
      <c r="AE21">
        <v>6</v>
      </c>
      <c r="AF21">
        <v>8</v>
      </c>
      <c r="AG21">
        <v>8</v>
      </c>
      <c r="AH21">
        <v>8</v>
      </c>
    </row>
    <row r="22" spans="1:34" x14ac:dyDescent="0.2">
      <c r="C22" t="s">
        <v>184</v>
      </c>
      <c r="D22" s="176">
        <v>3.1496015334326812</v>
      </c>
      <c r="E22" s="180">
        <v>4.383392158187351</v>
      </c>
      <c r="F22" s="176">
        <v>4.735538141363393</v>
      </c>
      <c r="G22" s="176">
        <v>3.1584304838374342</v>
      </c>
      <c r="H22" s="176">
        <v>5.372927937142169</v>
      </c>
      <c r="I22" s="176">
        <v>2.2469389748590149</v>
      </c>
      <c r="J22" s="176">
        <v>2.151656888400491</v>
      </c>
      <c r="K22" s="176">
        <v>4.6493430659077095</v>
      </c>
      <c r="L22" s="176">
        <v>2.6770085730117108</v>
      </c>
      <c r="M22" s="176">
        <v>5.6912984922337255</v>
      </c>
      <c r="N22" s="176">
        <v>2.7586995550791169</v>
      </c>
      <c r="O22" s="176">
        <v>2.8323515196282028</v>
      </c>
      <c r="P22" s="176">
        <v>1.6855244843788244</v>
      </c>
      <c r="Q22" s="176">
        <v>2.7557799391690554</v>
      </c>
      <c r="R22" s="176">
        <v>3.2807693520202079</v>
      </c>
      <c r="S22" s="176">
        <v>4.3604931452165623</v>
      </c>
      <c r="T22" s="176">
        <v>2.0493643930864738</v>
      </c>
      <c r="U22" s="176">
        <v>2.0095920505012828</v>
      </c>
      <c r="V22" s="176">
        <v>3.5798106416609672</v>
      </c>
      <c r="W22" s="176">
        <v>5.3679643286286574</v>
      </c>
      <c r="X22" s="176">
        <v>1.6960416794174555</v>
      </c>
      <c r="Y22" s="176">
        <v>2.9682101130297411</v>
      </c>
      <c r="Z22" s="176">
        <v>1.6640394613210883</v>
      </c>
      <c r="AA22" s="176">
        <v>3.1654101333664779</v>
      </c>
      <c r="AB22" s="176">
        <v>1.0107232108679156</v>
      </c>
      <c r="AC22" s="176">
        <v>2.4949012712260146</v>
      </c>
      <c r="AD22" s="176">
        <v>0.38497068419169761</v>
      </c>
      <c r="AE22" s="176">
        <v>2.2033114257152224</v>
      </c>
      <c r="AF22" s="176">
        <v>4.1657714225160927</v>
      </c>
      <c r="AG22" s="176">
        <v>4.7486139097981415</v>
      </c>
      <c r="AH22" s="176">
        <v>4.2391685672182451</v>
      </c>
    </row>
    <row r="23" spans="1:34" x14ac:dyDescent="0.2">
      <c r="C23" t="s">
        <v>185</v>
      </c>
      <c r="D23" s="176">
        <v>6.8007690997492576</v>
      </c>
      <c r="E23" s="180">
        <v>9.3929831961157522</v>
      </c>
      <c r="F23" s="176">
        <v>9.6316029993831727</v>
      </c>
      <c r="G23" s="176">
        <v>7.2886857319325404</v>
      </c>
      <c r="H23" s="176">
        <v>10.927989024695938</v>
      </c>
      <c r="I23" s="176">
        <v>5.2869152349623887</v>
      </c>
      <c r="J23" s="176">
        <v>5.7377517024013098</v>
      </c>
      <c r="K23" s="176">
        <v>10.526814488847643</v>
      </c>
      <c r="L23" s="176">
        <v>5.6358075221299178</v>
      </c>
      <c r="M23" s="176">
        <v>11.775100328759432</v>
      </c>
      <c r="N23" s="176">
        <v>5.4269499444179345</v>
      </c>
      <c r="O23" s="176">
        <v>6.4128713651959304</v>
      </c>
      <c r="P23" s="176">
        <v>4.2138112109470613</v>
      </c>
      <c r="Q23" s="176">
        <v>7.0360338872401416</v>
      </c>
      <c r="R23" s="176">
        <v>6.6727512244478806</v>
      </c>
      <c r="S23" s="176">
        <v>8.439664152032055</v>
      </c>
      <c r="T23" s="176">
        <v>4.6400703239693755</v>
      </c>
      <c r="U23" s="176">
        <v>4.3062686796456058</v>
      </c>
      <c r="V23" s="176">
        <v>7.5364434561283513</v>
      </c>
      <c r="W23" s="176">
        <v>10.917893549753201</v>
      </c>
      <c r="X23" s="176">
        <v>4.330319181491376</v>
      </c>
      <c r="Y23" s="176">
        <v>5.9364202260594823</v>
      </c>
      <c r="Z23" s="176">
        <v>3.7676365161986904</v>
      </c>
      <c r="AA23" s="176">
        <v>6.6640213334031113</v>
      </c>
      <c r="AB23" s="176">
        <v>2.8877806024797588</v>
      </c>
      <c r="AC23" s="176">
        <v>4.9898025424520291</v>
      </c>
      <c r="AD23" s="176">
        <v>1.0265884911778602</v>
      </c>
      <c r="AE23" s="176">
        <v>4.8962476127004946</v>
      </c>
      <c r="AF23" s="176">
        <v>8.4727554356259525</v>
      </c>
      <c r="AG23" s="176">
        <v>9.8247184340651206</v>
      </c>
      <c r="AH23" s="176">
        <v>9.4203745938183232</v>
      </c>
    </row>
    <row r="24" spans="1:34" x14ac:dyDescent="0.2">
      <c r="E24" s="179"/>
    </row>
    <row r="25" spans="1:34" x14ac:dyDescent="0.2">
      <c r="B25" t="s">
        <v>164</v>
      </c>
      <c r="C25" t="s">
        <v>180</v>
      </c>
      <c r="D25" s="176">
        <v>0</v>
      </c>
      <c r="E25" s="179">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2">
      <c r="C26" t="s">
        <v>181</v>
      </c>
      <c r="D26" s="176">
        <v>53.466666666666669</v>
      </c>
      <c r="E26" s="179">
        <v>55</v>
      </c>
      <c r="F26">
        <v>58</v>
      </c>
      <c r="G26">
        <v>51</v>
      </c>
      <c r="H26">
        <v>58</v>
      </c>
      <c r="I26">
        <v>50</v>
      </c>
      <c r="J26">
        <v>44</v>
      </c>
      <c r="K26">
        <v>52</v>
      </c>
      <c r="L26">
        <v>56</v>
      </c>
      <c r="M26">
        <v>57</v>
      </c>
      <c r="N26">
        <v>60</v>
      </c>
      <c r="O26">
        <v>52</v>
      </c>
      <c r="P26">
        <v>47</v>
      </c>
      <c r="Q26">
        <v>46</v>
      </c>
      <c r="R26">
        <v>58</v>
      </c>
      <c r="S26">
        <v>61</v>
      </c>
      <c r="T26">
        <v>52</v>
      </c>
      <c r="U26">
        <v>55</v>
      </c>
      <c r="V26">
        <v>56</v>
      </c>
      <c r="W26">
        <v>58</v>
      </c>
      <c r="X26">
        <v>46</v>
      </c>
      <c r="Y26">
        <v>59</v>
      </c>
      <c r="Z26">
        <v>52</v>
      </c>
      <c r="AA26">
        <v>56</v>
      </c>
      <c r="AB26">
        <v>41</v>
      </c>
      <c r="AC26">
        <v>59</v>
      </c>
      <c r="AD26">
        <v>44</v>
      </c>
      <c r="AE26">
        <v>53</v>
      </c>
      <c r="AF26">
        <v>58</v>
      </c>
      <c r="AG26">
        <v>57</v>
      </c>
      <c r="AH26">
        <v>53</v>
      </c>
    </row>
    <row r="27" spans="1:34" x14ac:dyDescent="0.2">
      <c r="C27" t="s">
        <v>182</v>
      </c>
      <c r="D27" s="176">
        <v>0</v>
      </c>
      <c r="E27" s="179">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2">
      <c r="C28" t="s">
        <v>183</v>
      </c>
      <c r="D28" s="176">
        <v>53.466666666666669</v>
      </c>
      <c r="E28" s="179">
        <v>55</v>
      </c>
      <c r="F28">
        <v>58</v>
      </c>
      <c r="G28">
        <v>51</v>
      </c>
      <c r="H28">
        <v>58</v>
      </c>
      <c r="I28">
        <v>50</v>
      </c>
      <c r="J28">
        <v>44</v>
      </c>
      <c r="K28">
        <v>52</v>
      </c>
      <c r="L28">
        <v>56</v>
      </c>
      <c r="M28">
        <v>57</v>
      </c>
      <c r="N28">
        <v>60</v>
      </c>
      <c r="O28">
        <v>52</v>
      </c>
      <c r="P28">
        <v>47</v>
      </c>
      <c r="Q28">
        <v>46</v>
      </c>
      <c r="R28">
        <v>58</v>
      </c>
      <c r="S28">
        <v>61</v>
      </c>
      <c r="T28">
        <v>52</v>
      </c>
      <c r="U28">
        <v>55</v>
      </c>
      <c r="V28">
        <v>56</v>
      </c>
      <c r="W28">
        <v>58</v>
      </c>
      <c r="X28">
        <v>46</v>
      </c>
      <c r="Y28">
        <v>59</v>
      </c>
      <c r="Z28">
        <v>52</v>
      </c>
      <c r="AA28">
        <v>56</v>
      </c>
      <c r="AB28">
        <v>41</v>
      </c>
      <c r="AC28">
        <v>59</v>
      </c>
      <c r="AD28">
        <v>44</v>
      </c>
      <c r="AE28">
        <v>53</v>
      </c>
      <c r="AF28">
        <v>58</v>
      </c>
      <c r="AG28">
        <v>57</v>
      </c>
      <c r="AH28">
        <v>53</v>
      </c>
    </row>
    <row r="29" spans="1:34" x14ac:dyDescent="0.2">
      <c r="C29" t="s">
        <v>184</v>
      </c>
      <c r="D29" s="176">
        <v>25.479190115905585</v>
      </c>
      <c r="E29" s="180">
        <v>27.5263534511122</v>
      </c>
      <c r="F29" s="176">
        <v>28.243097122970315</v>
      </c>
      <c r="G29" s="176">
        <v>23.638904721085559</v>
      </c>
      <c r="H29" s="176">
        <v>28.084357482411711</v>
      </c>
      <c r="I29" s="176">
        <v>23.070603649693108</v>
      </c>
      <c r="J29" s="176">
        <v>19.473988603373151</v>
      </c>
      <c r="K29" s="176">
        <v>22.916549516110642</v>
      </c>
      <c r="L29" s="176">
        <v>27.121962742987193</v>
      </c>
      <c r="M29" s="176">
        <v>28.138768261749352</v>
      </c>
      <c r="N29" s="176">
        <v>29.462719380085691</v>
      </c>
      <c r="O29" s="176">
        <v>24.298887236106957</v>
      </c>
      <c r="P29" s="176">
        <v>20.901341851571523</v>
      </c>
      <c r="Q29" s="176">
        <v>19.768113141003539</v>
      </c>
      <c r="R29" s="176">
        <v>29.859237985585327</v>
      </c>
      <c r="S29" s="176">
        <v>28.043642327099182</v>
      </c>
      <c r="T29" s="176">
        <v>27.585342180767157</v>
      </c>
      <c r="U29" s="176">
        <v>27.889303231821984</v>
      </c>
      <c r="V29" s="176">
        <v>26.919581573018977</v>
      </c>
      <c r="W29" s="176">
        <v>28.391780517395887</v>
      </c>
      <c r="X29" s="176">
        <v>21.518440411145274</v>
      </c>
      <c r="Y29" s="176">
        <v>27.115008752463222</v>
      </c>
      <c r="Z29" s="176">
        <v>23.993804617152893</v>
      </c>
      <c r="AA29" s="176">
        <v>26.913045398292599</v>
      </c>
      <c r="AB29" s="176">
        <v>21.323863757682894</v>
      </c>
      <c r="AC29" s="176">
        <v>26.816072311159335</v>
      </c>
      <c r="AD29" s="176">
        <v>20.874636490668852</v>
      </c>
      <c r="AE29" s="176">
        <v>25.617095426841409</v>
      </c>
      <c r="AF29" s="176">
        <v>26.749044719725653</v>
      </c>
      <c r="AG29" s="176">
        <v>26.378188981310718</v>
      </c>
      <c r="AH29" s="176">
        <v>25.741967634774969</v>
      </c>
    </row>
    <row r="30" spans="1:34" x14ac:dyDescent="0.2">
      <c r="C30" t="s">
        <v>185</v>
      </c>
      <c r="D30" s="184" t="s">
        <v>187</v>
      </c>
      <c r="E30" s="181" t="s">
        <v>187</v>
      </c>
      <c r="F30" s="177" t="s">
        <v>187</v>
      </c>
      <c r="G30" s="177" t="s">
        <v>187</v>
      </c>
      <c r="H30" s="177" t="s">
        <v>187</v>
      </c>
      <c r="I30" s="177" t="s">
        <v>187</v>
      </c>
      <c r="J30" s="177" t="s">
        <v>187</v>
      </c>
      <c r="K30" s="177" t="s">
        <v>187</v>
      </c>
      <c r="L30" s="177" t="s">
        <v>187</v>
      </c>
      <c r="M30" s="177" t="s">
        <v>187</v>
      </c>
      <c r="N30" s="177" t="s">
        <v>187</v>
      </c>
      <c r="O30" s="177" t="s">
        <v>187</v>
      </c>
      <c r="P30" s="177" t="s">
        <v>187</v>
      </c>
      <c r="Q30" s="177" t="s">
        <v>187</v>
      </c>
      <c r="R30" s="177" t="s">
        <v>187</v>
      </c>
      <c r="S30" s="177" t="s">
        <v>187</v>
      </c>
      <c r="T30" s="177" t="s">
        <v>187</v>
      </c>
      <c r="U30" s="177" t="s">
        <v>187</v>
      </c>
      <c r="V30" s="177" t="s">
        <v>187</v>
      </c>
      <c r="W30" s="177" t="s">
        <v>187</v>
      </c>
      <c r="X30" s="177" t="s">
        <v>187</v>
      </c>
      <c r="Y30" s="177" t="s">
        <v>187</v>
      </c>
      <c r="Z30" s="177" t="s">
        <v>187</v>
      </c>
      <c r="AA30" s="177" t="s">
        <v>187</v>
      </c>
      <c r="AB30" s="177" t="s">
        <v>187</v>
      </c>
      <c r="AC30" s="177" t="s">
        <v>187</v>
      </c>
      <c r="AD30" s="177" t="s">
        <v>187</v>
      </c>
      <c r="AE30" s="177" t="s">
        <v>187</v>
      </c>
      <c r="AF30" s="177" t="s">
        <v>187</v>
      </c>
      <c r="AG30" s="177" t="s">
        <v>187</v>
      </c>
      <c r="AH30" s="177" t="s">
        <v>187</v>
      </c>
    </row>
    <row r="31" spans="1:34" x14ac:dyDescent="0.2">
      <c r="E31" s="179"/>
    </row>
    <row r="32" spans="1:34" x14ac:dyDescent="0.2">
      <c r="E32" s="179"/>
    </row>
    <row r="33" spans="5:5" x14ac:dyDescent="0.2">
      <c r="E33" s="179"/>
    </row>
    <row r="34" spans="5:5" x14ac:dyDescent="0.2">
      <c r="E34" s="17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122</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122</v>
      </c>
      <c r="C8" t="s">
        <v>160</v>
      </c>
      <c r="D8">
        <v>4</v>
      </c>
      <c r="E8">
        <v>50</v>
      </c>
      <c r="F8">
        <v>2</v>
      </c>
    </row>
    <row r="9" spans="1:6" x14ac:dyDescent="0.2">
      <c r="A9">
        <v>3</v>
      </c>
      <c r="B9" t="s">
        <v>159</v>
      </c>
      <c r="C9" t="s">
        <v>96</v>
      </c>
      <c r="D9">
        <v>3</v>
      </c>
      <c r="E9">
        <v>50</v>
      </c>
      <c r="F9">
        <v>3</v>
      </c>
    </row>
    <row r="10" spans="1:6" x14ac:dyDescent="0.2">
      <c r="A10">
        <v>4</v>
      </c>
      <c r="B10" t="s">
        <v>164</v>
      </c>
      <c r="C10" t="s">
        <v>96</v>
      </c>
      <c r="D10">
        <v>6</v>
      </c>
      <c r="E10">
        <v>50</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2016-01-17T20:17:17Z</dcterms:modified>
</cp:coreProperties>
</file>