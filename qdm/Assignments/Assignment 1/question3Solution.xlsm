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berry5\Documents\class\QDM Class\Assignments\Assignment 1\"/>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E94" i="37" s="1"/>
  <c r="D94" i="37"/>
  <c r="D95" i="37" s="1"/>
  <c r="D96" i="37" s="1"/>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H6" i="37"/>
  <c r="I6" i="37"/>
  <c r="J6" i="37"/>
  <c r="E95" i="37" s="1"/>
  <c r="K6" i="37"/>
  <c r="L6" i="37"/>
  <c r="M6" i="37"/>
  <c r="N6" i="37"/>
  <c r="O6" i="37"/>
  <c r="P6" i="37"/>
  <c r="Q6" i="37"/>
  <c r="R6" i="37"/>
  <c r="S6" i="37"/>
  <c r="T6" i="37"/>
  <c r="U6" i="37"/>
  <c r="V6" i="37"/>
  <c r="W6" i="37"/>
  <c r="X6" i="37"/>
  <c r="Y6" i="37"/>
  <c r="Z6" i="37"/>
  <c r="AA6" i="37"/>
  <c r="AB6" i="37"/>
  <c r="AC6" i="37"/>
  <c r="AD6" i="37"/>
  <c r="AE6" i="37"/>
  <c r="AF6" i="37"/>
  <c r="AG6" i="37"/>
  <c r="AH6" i="37"/>
  <c r="E103" i="37" s="1"/>
  <c r="AI6" i="37"/>
  <c r="AJ6" i="37"/>
  <c r="AK6" i="37"/>
  <c r="AL6" i="37"/>
  <c r="AM6" i="37"/>
  <c r="AN6" i="37"/>
  <c r="AO6" i="37"/>
  <c r="AP6" i="37"/>
  <c r="AQ6" i="37"/>
  <c r="AR6" i="37"/>
  <c r="AS6" i="37"/>
  <c r="AT6" i="37"/>
  <c r="AU6" i="37"/>
  <c r="AV6" i="37"/>
  <c r="AW6" i="37"/>
  <c r="AX6" i="37"/>
  <c r="AY6" i="37"/>
  <c r="AZ6" i="37"/>
  <c r="BA6" i="37"/>
  <c r="BB6" i="37"/>
  <c r="BC6" i="37"/>
  <c r="BD6" i="37"/>
  <c r="BE6" i="37"/>
  <c r="BF6" i="37"/>
  <c r="E111" i="37" s="1"/>
  <c r="BG6" i="37"/>
  <c r="BH6" i="37"/>
  <c r="BI6" i="37"/>
  <c r="BJ6" i="37"/>
  <c r="BK6" i="37"/>
  <c r="BL6" i="37"/>
  <c r="BM6" i="37"/>
  <c r="BN6" i="37"/>
  <c r="BO6" i="37"/>
  <c r="BP6" i="37"/>
  <c r="BQ6" i="37"/>
  <c r="BR6" i="37"/>
  <c r="BS6" i="37"/>
  <c r="BT6" i="37"/>
  <c r="BU6" i="37"/>
  <c r="BV6" i="37"/>
  <c r="BW6" i="37"/>
  <c r="BX6" i="37"/>
  <c r="BY6" i="37"/>
  <c r="BZ6" i="37"/>
  <c r="CA6" i="37"/>
  <c r="CB6" i="37"/>
  <c r="CC6" i="37"/>
  <c r="CD6" i="37"/>
  <c r="E119" i="37" s="1"/>
  <c r="CE6" i="37"/>
  <c r="CF6" i="37"/>
  <c r="CG6" i="37"/>
  <c r="CH6" i="37"/>
  <c r="CI6" i="37"/>
  <c r="CJ6" i="37"/>
  <c r="CK6" i="37"/>
  <c r="CL6" i="37"/>
  <c r="CM6" i="37"/>
  <c r="CN6" i="37"/>
  <c r="CO6" i="37"/>
  <c r="CP6" i="37"/>
  <c r="CQ6" i="37"/>
  <c r="CR6" i="37"/>
  <c r="CS6" i="37"/>
  <c r="CT6" i="37"/>
  <c r="CU6" i="37"/>
  <c r="CV6" i="37"/>
  <c r="CW6" i="37"/>
  <c r="CX6" i="37"/>
  <c r="CY6" i="37"/>
  <c r="CZ6" i="37"/>
  <c r="DA6" i="37"/>
  <c r="DB6" i="37"/>
  <c r="E127" i="37" s="1"/>
  <c r="DC6" i="37"/>
  <c r="DD6" i="37"/>
  <c r="DE6" i="37"/>
  <c r="DF6" i="37"/>
  <c r="DG6" i="37"/>
  <c r="DH6" i="37"/>
  <c r="DI6" i="37"/>
  <c r="DJ6" i="37"/>
  <c r="DK6" i="37"/>
  <c r="DL6" i="37"/>
  <c r="DM6" i="37"/>
  <c r="DN6" i="37"/>
  <c r="DO6" i="37"/>
  <c r="DP6" i="37"/>
  <c r="DQ6" i="37"/>
  <c r="DR6" i="37"/>
  <c r="DS6" i="37"/>
  <c r="DT6" i="37"/>
  <c r="DU6" i="37"/>
  <c r="DV6" i="37"/>
  <c r="DW6" i="37"/>
  <c r="DX6" i="37"/>
  <c r="DY6" i="37"/>
  <c r="DZ6" i="37"/>
  <c r="E135" i="37" s="1"/>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D153" i="37"/>
  <c r="D163" i="37" s="1"/>
  <c r="D173" i="37" s="1"/>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G11" i="37"/>
  <c r="H11" i="37"/>
  <c r="I11" i="37"/>
  <c r="C163" i="37"/>
  <c r="C173" i="37" s="1"/>
  <c r="C183" i="37" s="1"/>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C164" i="37" s="1"/>
  <c r="C174" i="37" s="1"/>
  <c r="C184" i="37" s="1"/>
  <c r="C194" i="37" s="1"/>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D154" i="37"/>
  <c r="D164" i="37" s="1"/>
  <c r="D174" i="37" s="1"/>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G12" i="37"/>
  <c r="H12" i="37"/>
  <c r="I12" i="37"/>
  <c r="J12" i="37"/>
  <c r="K12" i="37"/>
  <c r="L12" i="37"/>
  <c r="M12" i="37"/>
  <c r="N12" i="37"/>
  <c r="O12" i="37"/>
  <c r="P12" i="37"/>
  <c r="Q12" i="37"/>
  <c r="R12" i="37"/>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C155" i="37"/>
  <c r="C165" i="37" s="1"/>
  <c r="C175" i="37" s="1"/>
  <c r="C185" i="37" s="1"/>
  <c r="C195" i="37" s="1"/>
  <c r="C205" i="37" s="1"/>
  <c r="C215" i="37" s="1"/>
  <c r="C225" i="37" s="1"/>
  <c r="C235" i="37" s="1"/>
  <c r="C245" i="37" s="1"/>
  <c r="C255" i="37" s="1"/>
  <c r="C265" i="37" s="1"/>
  <c r="C275" i="37" s="1"/>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D155" i="37"/>
  <c r="D165" i="37" s="1"/>
  <c r="D175" i="37" s="1"/>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G13" i="37"/>
  <c r="H13" i="37"/>
  <c r="I13" i="37"/>
  <c r="J13" i="37"/>
  <c r="K13" i="37"/>
  <c r="L13" i="37"/>
  <c r="M13" i="37"/>
  <c r="N13" i="37"/>
  <c r="O13" i="37"/>
  <c r="P13" i="37"/>
  <c r="Q13" i="37"/>
  <c r="R13" i="37"/>
  <c r="S13" i="37"/>
  <c r="T13" i="37"/>
  <c r="U13" i="37"/>
  <c r="V13" i="37"/>
  <c r="W13" i="37"/>
  <c r="X13" i="37"/>
  <c r="Y13" i="37"/>
  <c r="Z13" i="37"/>
  <c r="AA13" i="37"/>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C166" i="37" s="1"/>
  <c r="C176" i="37" s="1"/>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C566" i="37" s="1"/>
  <c r="C576" i="37" s="1"/>
  <c r="C586" i="37" s="1"/>
  <c r="C596" i="37" s="1"/>
  <c r="C606" i="37" s="1"/>
  <c r="C616" i="37" s="1"/>
  <c r="C626" i="37" s="1"/>
  <c r="C636" i="37" s="1"/>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4" i="37"/>
  <c r="H14" i="37"/>
  <c r="I14" i="37"/>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C157" i="37"/>
  <c r="C167" i="37" s="1"/>
  <c r="C177" i="37" s="1"/>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D157" i="37"/>
  <c r="D167" i="37" s="1"/>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5" i="37"/>
  <c r="H15" i="37"/>
  <c r="I15" i="37"/>
  <c r="J15" i="37"/>
  <c r="K15" i="37"/>
  <c r="L15" i="37"/>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C158" i="37"/>
  <c r="C168" i="37" s="1"/>
  <c r="C178" i="37" s="1"/>
  <c r="C188" i="37" s="1"/>
  <c r="C198" i="37" s="1"/>
  <c r="C208" i="37" s="1"/>
  <c r="C218" i="37" s="1"/>
  <c r="C228" i="37" s="1"/>
  <c r="C238" i="37" s="1"/>
  <c r="C248" i="37" s="1"/>
  <c r="C258" i="37" s="1"/>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6" i="37"/>
  <c r="H16" i="37"/>
  <c r="I16" i="37"/>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E159" i="37" s="1"/>
  <c r="C159" i="37"/>
  <c r="C169" i="37" s="1"/>
  <c r="C179" i="37" s="1"/>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C170" i="37" s="1"/>
  <c r="C180" i="37" s="1"/>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8" i="37"/>
  <c r="H18" i="37"/>
  <c r="I18" i="37"/>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C161" i="37"/>
  <c r="D161" i="37"/>
  <c r="D171" i="37" s="1"/>
  <c r="D181" i="37" s="1"/>
  <c r="D191" i="37" s="1"/>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G19" i="37"/>
  <c r="H19" i="37"/>
  <c r="I19" i="37"/>
  <c r="C171" i="37"/>
  <c r="C181" i="37" s="1"/>
  <c r="C191" i="37" s="1"/>
  <c r="C201" i="37" s="1"/>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J19" i="37"/>
  <c r="K19" i="37"/>
  <c r="L19" i="37"/>
  <c r="M19" i="37"/>
  <c r="N19" i="37"/>
  <c r="O19" i="37"/>
  <c r="P19" i="37"/>
  <c r="Q19" i="37"/>
  <c r="R19" i="37"/>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C162" i="37"/>
  <c r="C172" i="37" s="1"/>
  <c r="C182" i="37" s="1"/>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D162" i="37"/>
  <c r="D172" i="37" s="1"/>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G20" i="37"/>
  <c r="H20" i="37"/>
  <c r="I20" i="37"/>
  <c r="J20" i="37"/>
  <c r="K20" i="37"/>
  <c r="L20" i="37"/>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D645" i="37" s="1"/>
  <c r="D646" i="37" s="1"/>
  <c r="D647" i="37" s="1"/>
  <c r="D648" i="37" s="1"/>
  <c r="D649" i="37" s="1"/>
  <c r="D650" i="37" s="1"/>
  <c r="D651" i="37" s="1"/>
  <c r="D652" i="37" s="1"/>
  <c r="D653" i="37" s="1"/>
  <c r="D654" i="37" s="1"/>
  <c r="D655" i="37" s="1"/>
  <c r="D656" i="37" s="1"/>
  <c r="D657" i="37" s="1"/>
  <c r="D658" i="37" s="1"/>
  <c r="D659" i="37" s="1"/>
  <c r="D660" i="37" s="1"/>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D694" i="37"/>
  <c r="H36" i="37"/>
  <c r="I36" i="37"/>
  <c r="J36" i="37"/>
  <c r="D695" i="37"/>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C763" i="37" s="1"/>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C1073" i="37" s="1"/>
  <c r="C1083" i="37" s="1"/>
  <c r="C1093" i="37" s="1"/>
  <c r="C1103" i="37" s="1"/>
  <c r="C1113" i="37" s="1"/>
  <c r="C1123" i="37" s="1"/>
  <c r="C1133" i="37" s="1"/>
  <c r="C1143" i="37" s="1"/>
  <c r="C1153" i="37" s="1"/>
  <c r="C1163" i="37" s="1"/>
  <c r="C1173" i="37" s="1"/>
  <c r="C1183" i="37" s="1"/>
  <c r="C1193" i="37" s="1"/>
  <c r="C1203" i="37" s="1"/>
  <c r="C1213" i="37" s="1"/>
  <c r="C1223" i="37" s="1"/>
  <c r="C1233" i="37" s="1"/>
  <c r="D753" i="37"/>
  <c r="G41" i="37"/>
  <c r="H41" i="37"/>
  <c r="I41" i="37"/>
  <c r="D763" i="37"/>
  <c r="D773" i="37" s="1"/>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J41" i="37"/>
  <c r="K41" i="37"/>
  <c r="L41" i="37"/>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C804" i="37" s="1"/>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D754" i="37"/>
  <c r="D764" i="37" s="1"/>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G42" i="37"/>
  <c r="H42" i="37"/>
  <c r="I42" i="37"/>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C1194" i="37"/>
  <c r="C1204" i="37" s="1"/>
  <c r="C1214" i="37" s="1"/>
  <c r="C1224" i="37" s="1"/>
  <c r="C1234" i="37" s="1"/>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C806" i="37" s="1"/>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D756" i="37"/>
  <c r="G44" i="37"/>
  <c r="H44" i="37"/>
  <c r="I44" i="37"/>
  <c r="D766" i="37"/>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C767" i="37" s="1"/>
  <c r="C777" i="37" s="1"/>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D757" i="37"/>
  <c r="D767" i="37" s="1"/>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45" i="37"/>
  <c r="H45" i="37"/>
  <c r="I45" i="37"/>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C768" i="37"/>
  <c r="C778" i="37" s="1"/>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C1098" i="37" s="1"/>
  <c r="C1108" i="37" s="1"/>
  <c r="C1118" i="37" s="1"/>
  <c r="C1128" i="37" s="1"/>
  <c r="C1138" i="37" s="1"/>
  <c r="C1148" i="37" s="1"/>
  <c r="C1158" i="37" s="1"/>
  <c r="C1168" i="37" s="1"/>
  <c r="C1178" i="37" s="1"/>
  <c r="C1188" i="37" s="1"/>
  <c r="C1198" i="37" s="1"/>
  <c r="C1208" i="37" s="1"/>
  <c r="C1218" i="37" s="1"/>
  <c r="C1228" i="37" s="1"/>
  <c r="C1238" i="37" s="1"/>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C769" i="37" s="1"/>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D759" i="37"/>
  <c r="D769" i="37" s="1"/>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G47" i="37"/>
  <c r="H47" i="37"/>
  <c r="I47" i="37"/>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C770" i="37" s="1"/>
  <c r="C780" i="37" s="1"/>
  <c r="C790" i="37" s="1"/>
  <c r="C800" i="37" s="1"/>
  <c r="C810" i="37" s="1"/>
  <c r="C820" i="37" s="1"/>
  <c r="C830" i="37" s="1"/>
  <c r="C840" i="37" s="1"/>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D760" i="37"/>
  <c r="D770" i="37" s="1"/>
  <c r="D780" i="37" s="1"/>
  <c r="D790" i="37" s="1"/>
  <c r="D800" i="37" s="1"/>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G48" i="37"/>
  <c r="H48" i="37"/>
  <c r="I48" i="37"/>
  <c r="J48" i="37"/>
  <c r="K48" i="37"/>
  <c r="L48" i="37"/>
  <c r="M48" i="37"/>
  <c r="N48" i="37"/>
  <c r="O48" i="37"/>
  <c r="P48" i="37"/>
  <c r="Q48" i="37"/>
  <c r="R48" i="37"/>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49" i="37"/>
  <c r="H49" i="37"/>
  <c r="I49" i="37"/>
  <c r="C771" i="37"/>
  <c r="C781" i="37" s="1"/>
  <c r="C791" i="37" s="1"/>
  <c r="C801" i="37" s="1"/>
  <c r="C811" i="37" s="1"/>
  <c r="C821" i="37" s="1"/>
  <c r="C831" i="37" s="1"/>
  <c r="C841" i="37" s="1"/>
  <c r="C851" i="37" s="1"/>
  <c r="C861" i="37" s="1"/>
  <c r="C871" i="37" s="1"/>
  <c r="C881" i="37" s="1"/>
  <c r="C891" i="37" s="1"/>
  <c r="C901" i="37" s="1"/>
  <c r="C911" i="37" s="1"/>
  <c r="C921" i="37" s="1"/>
  <c r="C931" i="37" s="1"/>
  <c r="C941" i="37" s="1"/>
  <c r="C951" i="37" s="1"/>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C772" i="37" s="1"/>
  <c r="C782" i="37" s="1"/>
  <c r="C792" i="37" s="1"/>
  <c r="C802" i="37" s="1"/>
  <c r="C812" i="37" s="1"/>
  <c r="C822" i="37" s="1"/>
  <c r="C832" i="37" s="1"/>
  <c r="C842" i="37" s="1"/>
  <c r="C852" i="37" s="1"/>
  <c r="C862" i="37" s="1"/>
  <c r="C872" i="37" s="1"/>
  <c r="C882" i="37" s="1"/>
  <c r="C892" i="37" s="1"/>
  <c r="C902" i="37" s="1"/>
  <c r="C912" i="37" s="1"/>
  <c r="C922" i="37" s="1"/>
  <c r="C932" i="37" s="1"/>
  <c r="C942" i="37" s="1"/>
  <c r="C952" i="37" s="1"/>
  <c r="C962" i="37" s="1"/>
  <c r="C972" i="37" s="1"/>
  <c r="C982" i="37" s="1"/>
  <c r="C992" i="37" s="1"/>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D762" i="37"/>
  <c r="G50" i="37"/>
  <c r="H50" i="37"/>
  <c r="I50" i="37"/>
  <c r="D772" i="37"/>
  <c r="D782" i="37" s="1"/>
  <c r="D792" i="37" s="1"/>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J50" i="37"/>
  <c r="K50" i="37"/>
  <c r="L50" i="37"/>
  <c r="M50" i="37"/>
  <c r="N50" i="37"/>
  <c r="O50" i="37"/>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E1244" i="37" s="1"/>
  <c r="D1244" i="37"/>
  <c r="D1245" i="37" s="1"/>
  <c r="D1246" i="37" s="1"/>
  <c r="D1247" i="37" s="1"/>
  <c r="D1248" i="37" s="1"/>
  <c r="D1249" i="37" s="1"/>
  <c r="D1250" i="37" s="1"/>
  <c r="D1251" i="37" s="1"/>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H57" i="37"/>
  <c r="I57" i="37"/>
  <c r="J57" i="37"/>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C1313" i="37" s="1"/>
  <c r="C1323" i="37" s="1"/>
  <c r="C1333" i="37" s="1"/>
  <c r="C1343" i="37" s="1"/>
  <c r="C1353" i="37" s="1"/>
  <c r="C1363" i="37" s="1"/>
  <c r="C1373" i="37" s="1"/>
  <c r="C1383" i="37" s="1"/>
  <c r="C1393" i="37" s="1"/>
  <c r="C1403" i="37" s="1"/>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D1303" i="37"/>
  <c r="D1313" i="37" s="1"/>
  <c r="D1323" i="37" s="1"/>
  <c r="D1333" i="37" s="1"/>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G60" i="37"/>
  <c r="H60" i="37"/>
  <c r="I60" i="37"/>
  <c r="J60" i="37"/>
  <c r="K60" i="37"/>
  <c r="L60" i="37"/>
  <c r="M60" i="37"/>
  <c r="N60" i="37"/>
  <c r="O60" i="37"/>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C1314" i="37" s="1"/>
  <c r="C1324" i="37" s="1"/>
  <c r="C1334" i="37" s="1"/>
  <c r="C1344" i="37" s="1"/>
  <c r="C1354" i="37" s="1"/>
  <c r="C1364" i="37" s="1"/>
  <c r="C1374" i="37" s="1"/>
  <c r="C1384" i="37" s="1"/>
  <c r="C1394" i="37" s="1"/>
  <c r="C1404" i="37" s="1"/>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D1304" i="37"/>
  <c r="D1314" i="37" s="1"/>
  <c r="D1324" i="37" s="1"/>
  <c r="D1334" i="37" s="1"/>
  <c r="D1344" i="37" s="1"/>
  <c r="D1354" i="37" s="1"/>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G61" i="37"/>
  <c r="H61" i="37"/>
  <c r="I61" i="37"/>
  <c r="J61" i="37"/>
  <c r="K61" i="37"/>
  <c r="L61" i="37"/>
  <c r="M61" i="37"/>
  <c r="N61" i="37"/>
  <c r="O61" i="37"/>
  <c r="P61" i="37"/>
  <c r="Q61" i="37"/>
  <c r="R61" i="37"/>
  <c r="S61" i="37"/>
  <c r="T61" i="37"/>
  <c r="U61" i="37"/>
  <c r="V61" i="37"/>
  <c r="W61" i="37"/>
  <c r="X61" i="37"/>
  <c r="Y61" i="37"/>
  <c r="Z61" i="37"/>
  <c r="AA61" i="37"/>
  <c r="AB61" i="37"/>
  <c r="AC61" i="37"/>
  <c r="AD61" i="37"/>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C1315" i="37" s="1"/>
  <c r="C1325" i="37" s="1"/>
  <c r="C1335" i="37" s="1"/>
  <c r="C1345" i="37" s="1"/>
  <c r="C1355" i="37" s="1"/>
  <c r="C1365" i="37" s="1"/>
  <c r="C1375" i="37" s="1"/>
  <c r="C1385" i="37" s="1"/>
  <c r="C1395" i="37" s="1"/>
  <c r="C1405" i="37" s="1"/>
  <c r="C1415" i="37" s="1"/>
  <c r="C1425" i="37" s="1"/>
  <c r="C1435" i="37" s="1"/>
  <c r="C1445" i="37" s="1"/>
  <c r="C1455" i="37" s="1"/>
  <c r="C1465" i="37" s="1"/>
  <c r="C1475" i="37" s="1"/>
  <c r="C1485" i="37" s="1"/>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D1305" i="37"/>
  <c r="D1315" i="37" s="1"/>
  <c r="D1325" i="37" s="1"/>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G62" i="37"/>
  <c r="H62" i="37"/>
  <c r="I62" i="37"/>
  <c r="J62" i="37"/>
  <c r="K62" i="37"/>
  <c r="L62" i="37"/>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C1316" i="37" s="1"/>
  <c r="C1326" i="37" s="1"/>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63" i="37"/>
  <c r="H63" i="37"/>
  <c r="I63" i="37"/>
  <c r="J63" i="37"/>
  <c r="K63" i="37"/>
  <c r="L63" i="37"/>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E1307" i="37" s="1"/>
  <c r="C1307" i="37"/>
  <c r="C1317" i="37" s="1"/>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D1307" i="37"/>
  <c r="D1317" i="37" s="1"/>
  <c r="D1327" i="37" s="1"/>
  <c r="D1337" i="37" s="1"/>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G64" i="37"/>
  <c r="H64" i="37"/>
  <c r="I64" i="37"/>
  <c r="J64" i="37"/>
  <c r="K64" i="37"/>
  <c r="L64" i="37"/>
  <c r="M64" i="37"/>
  <c r="N64" i="37"/>
  <c r="O64" i="37"/>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C1378" i="37" s="1"/>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08" i="37"/>
  <c r="D1318" i="37" s="1"/>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G65" i="37"/>
  <c r="H65" i="37"/>
  <c r="I65" i="37"/>
  <c r="J65" i="37"/>
  <c r="K65" i="37"/>
  <c r="L65" i="37"/>
  <c r="M65" i="37"/>
  <c r="N65" i="37"/>
  <c r="O65" i="37"/>
  <c r="P65" i="37"/>
  <c r="Q65" i="37"/>
  <c r="R65" i="37"/>
  <c r="S65" i="37"/>
  <c r="T65" i="37"/>
  <c r="U65" i="37"/>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C1309" i="37"/>
  <c r="C1319" i="37" s="1"/>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D1309" i="37"/>
  <c r="D1319" i="37" s="1"/>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G66" i="37"/>
  <c r="H66" i="37"/>
  <c r="I66" i="37"/>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C1310" i="37"/>
  <c r="C1320" i="37" s="1"/>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D1310" i="37"/>
  <c r="D1320" i="37" s="1"/>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G67" i="37"/>
  <c r="H67" i="37"/>
  <c r="I67" i="37"/>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E1311" i="37" s="1"/>
  <c r="C1311" i="37"/>
  <c r="C1321" i="37" s="1"/>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68" i="37"/>
  <c r="H68" i="37"/>
  <c r="I68" i="37"/>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C1312" i="37"/>
  <c r="C1322" i="37" s="1"/>
  <c r="C1332" i="37" s="1"/>
  <c r="C1342" i="37" s="1"/>
  <c r="C1352" i="37" s="1"/>
  <c r="C1362" i="37" s="1"/>
  <c r="C1372" i="37" s="1"/>
  <c r="C1382" i="37" s="1"/>
  <c r="C1392" i="37" s="1"/>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D1312" i="37"/>
  <c r="D1322" i="37" s="1"/>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G69" i="37"/>
  <c r="H69" i="37"/>
  <c r="I69" i="37"/>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E1794" i="37" s="1"/>
  <c r="D1794" i="37"/>
  <c r="K76" i="37"/>
  <c r="L76" i="37"/>
  <c r="M76" i="37"/>
  <c r="N76" i="37"/>
  <c r="O76" i="37"/>
  <c r="D1795" i="37"/>
  <c r="D1796" i="37" s="1"/>
  <c r="D1797" i="37" s="1"/>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E1853" i="37" s="1"/>
  <c r="C1853" i="37"/>
  <c r="D1853" i="37"/>
  <c r="D1863" i="37" s="1"/>
  <c r="D1873" i="37" s="1"/>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I80" i="37"/>
  <c r="J80" i="37"/>
  <c r="K80" i="37"/>
  <c r="L80" i="37"/>
  <c r="M80" i="37"/>
  <c r="C1863" i="37"/>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C2323" i="37" s="1"/>
  <c r="C2333" i="37" s="1"/>
  <c r="N80" i="37"/>
  <c r="O80" i="37"/>
  <c r="P80" i="37"/>
  <c r="Q80" i="37"/>
  <c r="R80" i="37"/>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I81" i="37"/>
  <c r="J81" i="37"/>
  <c r="K81" i="37"/>
  <c r="L81" i="37"/>
  <c r="M81" i="37"/>
  <c r="D1864" i="37"/>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C1855" i="37"/>
  <c r="C1865" i="37" s="1"/>
  <c r="C1875" i="37" s="1"/>
  <c r="C1885" i="37" s="1"/>
  <c r="C1895" i="37" s="1"/>
  <c r="C1905" i="37" s="1"/>
  <c r="C1915" i="37" s="1"/>
  <c r="C1925" i="37" s="1"/>
  <c r="C1935" i="37" s="1"/>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I82" i="37"/>
  <c r="J82" i="37"/>
  <c r="K82" i="37"/>
  <c r="L82" i="37"/>
  <c r="M82" i="37"/>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C1856" i="37"/>
  <c r="C1866" i="37" s="1"/>
  <c r="C1876" i="37" s="1"/>
  <c r="C1886" i="37" s="1"/>
  <c r="C1896" i="37" s="1"/>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D1856" i="37"/>
  <c r="I83" i="37"/>
  <c r="J83" i="37"/>
  <c r="K83" i="37"/>
  <c r="L83" i="37"/>
  <c r="M83" i="37"/>
  <c r="D1866" i="37"/>
  <c r="D1876" i="37" s="1"/>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N83" i="37"/>
  <c r="O83" i="37"/>
  <c r="P83" i="37"/>
  <c r="Q83" i="37"/>
  <c r="R83" i="37"/>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I84" i="37"/>
  <c r="J84" i="37"/>
  <c r="K84" i="37"/>
  <c r="L84" i="37"/>
  <c r="M84" i="37"/>
  <c r="C1867" i="37"/>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C1859" i="37"/>
  <c r="C1869" i="37" s="1"/>
  <c r="C1879" i="37" s="1"/>
  <c r="C1889" i="37" s="1"/>
  <c r="C1899" i="37" s="1"/>
  <c r="C1909" i="37" s="1"/>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D1859" i="37"/>
  <c r="D1869" i="37" s="1"/>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I86" i="37"/>
  <c r="J86" i="37"/>
  <c r="K86" i="37"/>
  <c r="L86" i="37"/>
  <c r="M86" i="37"/>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C1900" i="37" s="1"/>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C1861" i="37"/>
  <c r="C1871" i="37" s="1"/>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D1861" i="37"/>
  <c r="D1871" i="37" s="1"/>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I88" i="37"/>
  <c r="J88" i="37"/>
  <c r="K88" i="37"/>
  <c r="L88" i="37"/>
  <c r="M88" i="37"/>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C1872" i="37" s="1"/>
  <c r="C1882" i="37" s="1"/>
  <c r="C1892" i="37" s="1"/>
  <c r="C1902" i="37" s="1"/>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1305" i="37" l="1"/>
  <c r="E157" i="37"/>
  <c r="E1857" i="37"/>
  <c r="E653" i="37"/>
  <c r="E645" i="37"/>
  <c r="E762" i="37"/>
  <c r="E1312" i="37"/>
  <c r="E761" i="37"/>
  <c r="E845" i="37"/>
  <c r="E1859" i="37"/>
  <c r="E1855" i="37"/>
  <c r="E1308" i="37"/>
  <c r="E655" i="37"/>
  <c r="E647" i="37"/>
  <c r="E158" i="37"/>
  <c r="E187" i="37"/>
  <c r="E760" i="37"/>
  <c r="E765" i="37"/>
  <c r="E657" i="37"/>
  <c r="E649" i="37"/>
  <c r="E160" i="37"/>
  <c r="E2339" i="37"/>
  <c r="E1310" i="37"/>
  <c r="E1306" i="37"/>
  <c r="E1164" i="37"/>
  <c r="E659" i="37"/>
  <c r="E651" i="37"/>
  <c r="E188" i="37"/>
  <c r="E1858" i="37"/>
  <c r="E1309" i="37"/>
  <c r="E899" i="37"/>
  <c r="E286" i="37"/>
  <c r="E2332" i="37"/>
  <c r="E2252" i="37"/>
  <c r="E2172" i="37"/>
  <c r="E2092" i="37"/>
  <c r="E2012" i="37"/>
  <c r="E1932" i="37"/>
  <c r="E2291" i="37"/>
  <c r="E2211" i="37"/>
  <c r="E2131" i="37"/>
  <c r="E2051" i="37"/>
  <c r="E1971" i="37"/>
  <c r="E1891" i="37"/>
  <c r="E2330" i="37"/>
  <c r="E2250" i="37"/>
  <c r="E2170" i="37"/>
  <c r="E2090" i="37"/>
  <c r="E2010" i="37"/>
  <c r="E1930" i="37"/>
  <c r="E2342" i="37"/>
  <c r="E2262" i="37"/>
  <c r="E2182" i="37"/>
  <c r="E2102" i="37"/>
  <c r="E2022" i="37"/>
  <c r="E1942" i="37"/>
  <c r="E1862" i="37"/>
  <c r="E2301" i="37"/>
  <c r="E2221" i="37"/>
  <c r="E2141" i="37"/>
  <c r="E2061" i="37"/>
  <c r="E1981" i="37"/>
  <c r="E1901" i="37"/>
  <c r="E2340" i="37"/>
  <c r="E2260" i="37"/>
  <c r="E2180" i="37"/>
  <c r="E2100" i="37"/>
  <c r="E2020" i="37"/>
  <c r="E1940" i="37"/>
  <c r="E2272" i="37"/>
  <c r="E2192" i="37"/>
  <c r="E2112" i="37"/>
  <c r="E2032" i="37"/>
  <c r="E1952" i="37"/>
  <c r="E1872" i="37"/>
  <c r="E2311" i="37"/>
  <c r="E2231" i="37"/>
  <c r="E2151" i="37"/>
  <c r="E2071" i="37"/>
  <c r="E1991" i="37"/>
  <c r="E1911" i="37"/>
  <c r="E2270" i="37"/>
  <c r="E2190" i="37"/>
  <c r="E2110" i="37"/>
  <c r="E2030" i="37"/>
  <c r="E1950" i="37"/>
  <c r="E1900" i="37"/>
  <c r="E1860" i="37"/>
  <c r="E2282" i="37"/>
  <c r="E2202" i="37"/>
  <c r="E2122" i="37"/>
  <c r="E2042" i="37"/>
  <c r="E1962" i="37"/>
  <c r="E1882" i="37"/>
  <c r="E2321" i="37"/>
  <c r="E2241" i="37"/>
  <c r="E2161" i="37"/>
  <c r="E2081" i="37"/>
  <c r="E2001" i="37"/>
  <c r="E1921" i="37"/>
  <c r="E2280" i="37"/>
  <c r="E2200" i="37"/>
  <c r="E2120" i="37"/>
  <c r="E2040" i="37"/>
  <c r="E1960" i="37"/>
  <c r="E2292" i="37"/>
  <c r="E2212" i="37"/>
  <c r="E2132" i="37"/>
  <c r="E2052" i="37"/>
  <c r="E1972" i="37"/>
  <c r="E1892" i="37"/>
  <c r="E2331" i="37"/>
  <c r="E2251" i="37"/>
  <c r="E2171" i="37"/>
  <c r="E2091" i="37"/>
  <c r="E2011" i="37"/>
  <c r="E1931" i="37"/>
  <c r="E2290" i="37"/>
  <c r="E2210" i="37"/>
  <c r="E2130" i="37"/>
  <c r="E2050" i="37"/>
  <c r="E1970" i="37"/>
  <c r="E2302" i="37"/>
  <c r="E2222" i="37"/>
  <c r="E2142" i="37"/>
  <c r="E2062" i="37"/>
  <c r="E1982" i="37"/>
  <c r="E1902" i="37"/>
  <c r="E2341" i="37"/>
  <c r="E2261" i="37"/>
  <c r="E2181" i="37"/>
  <c r="E2101" i="37"/>
  <c r="E2021" i="37"/>
  <c r="E1941" i="37"/>
  <c r="E1861" i="37"/>
  <c r="E2300" i="37"/>
  <c r="E2220" i="37"/>
  <c r="E2140" i="37"/>
  <c r="E2060" i="37"/>
  <c r="E1980" i="37"/>
  <c r="E1910" i="37"/>
  <c r="E2312" i="37"/>
  <c r="E2232" i="37"/>
  <c r="E2152" i="37"/>
  <c r="E2072" i="37"/>
  <c r="E1992" i="37"/>
  <c r="E1912" i="37"/>
  <c r="E2271" i="37"/>
  <c r="E2191" i="37"/>
  <c r="E2111" i="37"/>
  <c r="E2031" i="37"/>
  <c r="E1951" i="37"/>
  <c r="E1871" i="37"/>
  <c r="E2310" i="37"/>
  <c r="E2230" i="37"/>
  <c r="E2150" i="37"/>
  <c r="E2070" i="37"/>
  <c r="E1990" i="37"/>
  <c r="E2322" i="37"/>
  <c r="E2242" i="37"/>
  <c r="E2162" i="37"/>
  <c r="E2082" i="37"/>
  <c r="E2002" i="37"/>
  <c r="E1922" i="37"/>
  <c r="E2281" i="37"/>
  <c r="E2201" i="37"/>
  <c r="E2121" i="37"/>
  <c r="E2041" i="37"/>
  <c r="E1961" i="37"/>
  <c r="E1881" i="37"/>
  <c r="E2320" i="37"/>
  <c r="E2240" i="37"/>
  <c r="E2160" i="37"/>
  <c r="E2080" i="37"/>
  <c r="E2000" i="37"/>
  <c r="E1920" i="37"/>
  <c r="E2289" i="37"/>
  <c r="E2209" i="37"/>
  <c r="E2129" i="37"/>
  <c r="E2049" i="37"/>
  <c r="E1969" i="37"/>
  <c r="E1889" i="37"/>
  <c r="E2328" i="37"/>
  <c r="E2248" i="37"/>
  <c r="E2168" i="37"/>
  <c r="E2088" i="37"/>
  <c r="E2008" i="37"/>
  <c r="E1928" i="37"/>
  <c r="E2287" i="37"/>
  <c r="E2207" i="37"/>
  <c r="E2127" i="37"/>
  <c r="E2047" i="37"/>
  <c r="E1967" i="37"/>
  <c r="E1887" i="37"/>
  <c r="E2326" i="37"/>
  <c r="E2246" i="37"/>
  <c r="E2166" i="37"/>
  <c r="E2086" i="37"/>
  <c r="E2006" i="37"/>
  <c r="E1926" i="37"/>
  <c r="E2285" i="37"/>
  <c r="E2205" i="37"/>
  <c r="E2125" i="37"/>
  <c r="E2045" i="37"/>
  <c r="E1965" i="37"/>
  <c r="E1885" i="37"/>
  <c r="E2324" i="37"/>
  <c r="E2244" i="37"/>
  <c r="E2164" i="37"/>
  <c r="E2084" i="37"/>
  <c r="E2004" i="37"/>
  <c r="E1924" i="37"/>
  <c r="E2283" i="37"/>
  <c r="E2203" i="37"/>
  <c r="E2123" i="37"/>
  <c r="E2043" i="37"/>
  <c r="E1963" i="37"/>
  <c r="E1883" i="37"/>
  <c r="E1840" i="37"/>
  <c r="E1836" i="37"/>
  <c r="E1832" i="37"/>
  <c r="E1828" i="37"/>
  <c r="E1824" i="37"/>
  <c r="E1820" i="37"/>
  <c r="E1816" i="37"/>
  <c r="E1812" i="37"/>
  <c r="E1808" i="37"/>
  <c r="E1804" i="37"/>
  <c r="E1800" i="37"/>
  <c r="E1796" i="37"/>
  <c r="E1732" i="37"/>
  <c r="E1652" i="37"/>
  <c r="E1711" i="37"/>
  <c r="E2299" i="37"/>
  <c r="E2219" i="37"/>
  <c r="E2139" i="37"/>
  <c r="E2059" i="37"/>
  <c r="E1979" i="37"/>
  <c r="E1899" i="37"/>
  <c r="E2338" i="37"/>
  <c r="E2258" i="37"/>
  <c r="E2178" i="37"/>
  <c r="E2098" i="37"/>
  <c r="E2018" i="37"/>
  <c r="E1938" i="37"/>
  <c r="E2297" i="37"/>
  <c r="E2217" i="37"/>
  <c r="E2137" i="37"/>
  <c r="E2057" i="37"/>
  <c r="E1977" i="37"/>
  <c r="E1897" i="37"/>
  <c r="E2336" i="37"/>
  <c r="E2256" i="37"/>
  <c r="E2176" i="37"/>
  <c r="E2096" i="37"/>
  <c r="E2016" i="37"/>
  <c r="E1936" i="37"/>
  <c r="E1856" i="37"/>
  <c r="E2295" i="37"/>
  <c r="E2215" i="37"/>
  <c r="E2135" i="37"/>
  <c r="E2055" i="37"/>
  <c r="E1975" i="37"/>
  <c r="E1895" i="37"/>
  <c r="E2334" i="37"/>
  <c r="E2254" i="37"/>
  <c r="E2174" i="37"/>
  <c r="E2094" i="37"/>
  <c r="E2014" i="37"/>
  <c r="E1934" i="37"/>
  <c r="E1854" i="37"/>
  <c r="E2293" i="37"/>
  <c r="E2213" i="37"/>
  <c r="E2133" i="37"/>
  <c r="E2053" i="37"/>
  <c r="E1973" i="37"/>
  <c r="E1893" i="37"/>
  <c r="E1762" i="37"/>
  <c r="E1682" i="37"/>
  <c r="E1632" i="37"/>
  <c r="E1582" i="37"/>
  <c r="E1512" i="37"/>
  <c r="E1472" i="37"/>
  <c r="E1432" i="37"/>
  <c r="E1392" i="37"/>
  <c r="E1352" i="37"/>
  <c r="E1621" i="37"/>
  <c r="E1581" i="37"/>
  <c r="E1471" i="37"/>
  <c r="E1660" i="37"/>
  <c r="E1340" i="37"/>
  <c r="E1499" i="37"/>
  <c r="E1870" i="37"/>
  <c r="E2309" i="37"/>
  <c r="E2229" i="37"/>
  <c r="E2149" i="37"/>
  <c r="E2069" i="37"/>
  <c r="E1989" i="37"/>
  <c r="E1909" i="37"/>
  <c r="E2268" i="37"/>
  <c r="E2188" i="37"/>
  <c r="E2108" i="37"/>
  <c r="E2028" i="37"/>
  <c r="E1948" i="37"/>
  <c r="E1868" i="37"/>
  <c r="E2307" i="37"/>
  <c r="E2227" i="37"/>
  <c r="E2147" i="37"/>
  <c r="E2067" i="37"/>
  <c r="E1987" i="37"/>
  <c r="E1907" i="37"/>
  <c r="E2266" i="37"/>
  <c r="E2186" i="37"/>
  <c r="E2106" i="37"/>
  <c r="E2026" i="37"/>
  <c r="E1946" i="37"/>
  <c r="E1866" i="37"/>
  <c r="E2305" i="37"/>
  <c r="E2225" i="37"/>
  <c r="E2145" i="37"/>
  <c r="E2065" i="37"/>
  <c r="E1985" i="37"/>
  <c r="E1905" i="37"/>
  <c r="E2264" i="37"/>
  <c r="E2184" i="37"/>
  <c r="E2104" i="37"/>
  <c r="E2024" i="37"/>
  <c r="E1944" i="37"/>
  <c r="E1864" i="37"/>
  <c r="E2303" i="37"/>
  <c r="E2223" i="37"/>
  <c r="E2143" i="37"/>
  <c r="E2063" i="37"/>
  <c r="E1983" i="37"/>
  <c r="E1903" i="37"/>
  <c r="E1841" i="37"/>
  <c r="E1837" i="37"/>
  <c r="E1833" i="37"/>
  <c r="E1829" i="37"/>
  <c r="E1825" i="37"/>
  <c r="E1821" i="37"/>
  <c r="E1817" i="37"/>
  <c r="E1813" i="37"/>
  <c r="E1809" i="37"/>
  <c r="E1805" i="37"/>
  <c r="E1801" i="37"/>
  <c r="E1797" i="37"/>
  <c r="E1792" i="37"/>
  <c r="E1712" i="37"/>
  <c r="E1791" i="37"/>
  <c r="E1880" i="37"/>
  <c r="E2319" i="37"/>
  <c r="E2239" i="37"/>
  <c r="E2159" i="37"/>
  <c r="E2079" i="37"/>
  <c r="E1999" i="37"/>
  <c r="E1919" i="37"/>
  <c r="E2278" i="37"/>
  <c r="E2198" i="37"/>
  <c r="E2118" i="37"/>
  <c r="E2038" i="37"/>
  <c r="E1958" i="37"/>
  <c r="E1878" i="37"/>
  <c r="E2317" i="37"/>
  <c r="E2237" i="37"/>
  <c r="E2157" i="37"/>
  <c r="E2077" i="37"/>
  <c r="E1997" i="37"/>
  <c r="E1917" i="37"/>
  <c r="E2276" i="37"/>
  <c r="E2196" i="37"/>
  <c r="E2116" i="37"/>
  <c r="E2036" i="37"/>
  <c r="E1956" i="37"/>
  <c r="E1876" i="37"/>
  <c r="E2315" i="37"/>
  <c r="E2235" i="37"/>
  <c r="E2155" i="37"/>
  <c r="E2075" i="37"/>
  <c r="E1995" i="37"/>
  <c r="E1915" i="37"/>
  <c r="E2274" i="37"/>
  <c r="E2194" i="37"/>
  <c r="E2114" i="37"/>
  <c r="E2034" i="37"/>
  <c r="E1954" i="37"/>
  <c r="E1874" i="37"/>
  <c r="E2313" i="37"/>
  <c r="E2233" i="37"/>
  <c r="E2153" i="37"/>
  <c r="E2073" i="37"/>
  <c r="E1993" i="37"/>
  <c r="E1913" i="37"/>
  <c r="E1742" i="37"/>
  <c r="E1662" i="37"/>
  <c r="E1612" i="37"/>
  <c r="E1562" i="37"/>
  <c r="E1701" i="37"/>
  <c r="E1661" i="37"/>
  <c r="E1421" i="37"/>
  <c r="E1580" i="37"/>
  <c r="E1739" i="37"/>
  <c r="E1890" i="37"/>
  <c r="E2329" i="37"/>
  <c r="E2249" i="37"/>
  <c r="E2169" i="37"/>
  <c r="E2089" i="37"/>
  <c r="E2009" i="37"/>
  <c r="E1929" i="37"/>
  <c r="E2288" i="37"/>
  <c r="E2208" i="37"/>
  <c r="E2128" i="37"/>
  <c r="E2048" i="37"/>
  <c r="E1968" i="37"/>
  <c r="E1888" i="37"/>
  <c r="E2327" i="37"/>
  <c r="E2247" i="37"/>
  <c r="E2167" i="37"/>
  <c r="E2087" i="37"/>
  <c r="E2007" i="37"/>
  <c r="E1927" i="37"/>
  <c r="E2286" i="37"/>
  <c r="E2206" i="37"/>
  <c r="E2126" i="37"/>
  <c r="E2046" i="37"/>
  <c r="E1966" i="37"/>
  <c r="E1886" i="37"/>
  <c r="E2325" i="37"/>
  <c r="E2245" i="37"/>
  <c r="E2165" i="37"/>
  <c r="E2085" i="37"/>
  <c r="E2005" i="37"/>
  <c r="E1925" i="37"/>
  <c r="E2284" i="37"/>
  <c r="E2204" i="37"/>
  <c r="E2124" i="37"/>
  <c r="E2044" i="37"/>
  <c r="E1964" i="37"/>
  <c r="E1884" i="37"/>
  <c r="E2323" i="37"/>
  <c r="E2243" i="37"/>
  <c r="E2163" i="37"/>
  <c r="E2083" i="37"/>
  <c r="E2003" i="37"/>
  <c r="E1923" i="37"/>
  <c r="E1842" i="37"/>
  <c r="E1838" i="37"/>
  <c r="E1834" i="37"/>
  <c r="E1830" i="37"/>
  <c r="E1826" i="37"/>
  <c r="E1822" i="37"/>
  <c r="E1818" i="37"/>
  <c r="E1814" i="37"/>
  <c r="E1810" i="37"/>
  <c r="E1806" i="37"/>
  <c r="E1802" i="37"/>
  <c r="E1798" i="37"/>
  <c r="E1772" i="37"/>
  <c r="E1692" i="37"/>
  <c r="E1592" i="37"/>
  <c r="E1542" i="37"/>
  <c r="E1551" i="37"/>
  <c r="E2259" i="37"/>
  <c r="E2179" i="37"/>
  <c r="E2099" i="37"/>
  <c r="E2019" i="37"/>
  <c r="E1939" i="37"/>
  <c r="E2298" i="37"/>
  <c r="E2218" i="37"/>
  <c r="E2138" i="37"/>
  <c r="E2058" i="37"/>
  <c r="E1978" i="37"/>
  <c r="E1898" i="37"/>
  <c r="E2337" i="37"/>
  <c r="E2257" i="37"/>
  <c r="E2177" i="37"/>
  <c r="E2097" i="37"/>
  <c r="E2017" i="37"/>
  <c r="E1937" i="37"/>
  <c r="E2296" i="37"/>
  <c r="E2216" i="37"/>
  <c r="E2136" i="37"/>
  <c r="E2056" i="37"/>
  <c r="E1976" i="37"/>
  <c r="E1896" i="37"/>
  <c r="E2335" i="37"/>
  <c r="E2255" i="37"/>
  <c r="E2175" i="37"/>
  <c r="E2095" i="37"/>
  <c r="E2015" i="37"/>
  <c r="E1935" i="37"/>
  <c r="E2294" i="37"/>
  <c r="E2214" i="37"/>
  <c r="E2134" i="37"/>
  <c r="E2054" i="37"/>
  <c r="E1974" i="37"/>
  <c r="E1894" i="37"/>
  <c r="E2333" i="37"/>
  <c r="E2253" i="37"/>
  <c r="E2173" i="37"/>
  <c r="E2093" i="37"/>
  <c r="E2013" i="37"/>
  <c r="E1933" i="37"/>
  <c r="E1722" i="37"/>
  <c r="E1642" i="37"/>
  <c r="E1502" i="37"/>
  <c r="E1462" i="37"/>
  <c r="E1422" i="37"/>
  <c r="E1382" i="37"/>
  <c r="E1342" i="37"/>
  <c r="E1781" i="37"/>
  <c r="E1741" i="37"/>
  <c r="E1391" i="37"/>
  <c r="E1341" i="37"/>
  <c r="E1500" i="37"/>
  <c r="E1659" i="37"/>
  <c r="E2269" i="37"/>
  <c r="E2189" i="37"/>
  <c r="E2109" i="37"/>
  <c r="E2029" i="37"/>
  <c r="E1949" i="37"/>
  <c r="E1869" i="37"/>
  <c r="E2308" i="37"/>
  <c r="E2228" i="37"/>
  <c r="E2148" i="37"/>
  <c r="E2068" i="37"/>
  <c r="E1988" i="37"/>
  <c r="E1908" i="37"/>
  <c r="E2267" i="37"/>
  <c r="E2187" i="37"/>
  <c r="E2107" i="37"/>
  <c r="E2027" i="37"/>
  <c r="E1947" i="37"/>
  <c r="E1867" i="37"/>
  <c r="E2306" i="37"/>
  <c r="E2226" i="37"/>
  <c r="E2146" i="37"/>
  <c r="E2066" i="37"/>
  <c r="E1986" i="37"/>
  <c r="E1906" i="37"/>
  <c r="E2265" i="37"/>
  <c r="E2185" i="37"/>
  <c r="E2105" i="37"/>
  <c r="E2025" i="37"/>
  <c r="E1945" i="37"/>
  <c r="E1865" i="37"/>
  <c r="E2304"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622" i="37"/>
  <c r="E1631" i="37"/>
  <c r="E2279" i="37"/>
  <c r="E2199" i="37"/>
  <c r="E2119" i="37"/>
  <c r="E2039" i="37"/>
  <c r="E1959" i="37"/>
  <c r="E1879" i="37"/>
  <c r="E2318" i="37"/>
  <c r="E2238" i="37"/>
  <c r="E2158" i="37"/>
  <c r="E2078" i="37"/>
  <c r="E1998" i="37"/>
  <c r="E1918" i="37"/>
  <c r="E2277" i="37"/>
  <c r="E2197" i="37"/>
  <c r="E2117" i="37"/>
  <c r="E2037" i="37"/>
  <c r="E1957" i="37"/>
  <c r="E1877" i="37"/>
  <c r="E2316" i="37"/>
  <c r="E2236" i="37"/>
  <c r="E2156" i="37"/>
  <c r="E2076" i="37"/>
  <c r="E1996" i="37"/>
  <c r="E1916" i="37"/>
  <c r="E2275" i="37"/>
  <c r="E2195" i="37"/>
  <c r="E2115" i="37"/>
  <c r="E2035" i="37"/>
  <c r="E1955" i="37"/>
  <c r="E1875" i="37"/>
  <c r="E2314" i="37"/>
  <c r="E2234" i="37"/>
  <c r="E2154" i="37"/>
  <c r="E2074" i="37"/>
  <c r="E1994" i="37"/>
  <c r="E1914" i="37"/>
  <c r="E2273" i="37"/>
  <c r="E2193" i="37"/>
  <c r="E2113" i="37"/>
  <c r="E2033" i="37"/>
  <c r="E1953" i="37"/>
  <c r="E1873" i="37"/>
  <c r="E1782" i="37"/>
  <c r="E1702" i="37"/>
  <c r="E1602" i="37"/>
  <c r="E1552" i="37"/>
  <c r="E1541" i="37"/>
  <c r="E1501" i="37"/>
  <c r="E1740" i="37"/>
  <c r="E1420" i="37"/>
  <c r="E1579" i="37"/>
  <c r="E1419" i="37"/>
  <c r="E1339" i="37"/>
  <c r="E1738" i="37"/>
  <c r="E1658" i="37"/>
  <c r="E1608" i="37"/>
  <c r="E1588" i="37"/>
  <c r="E1548" i="37"/>
  <c r="E1706" i="37"/>
  <c r="E1386" i="37"/>
  <c r="E1784" i="37"/>
  <c r="E1464" i="37"/>
  <c r="E1532" i="37"/>
  <c r="E1452" i="37"/>
  <c r="E1372" i="37"/>
  <c r="E1771" i="37"/>
  <c r="E1691" i="37"/>
  <c r="E1611" i="37"/>
  <c r="E1531" i="37"/>
  <c r="E1451" i="37"/>
  <c r="E1371" i="37"/>
  <c r="E1770" i="37"/>
  <c r="E1690" i="37"/>
  <c r="E1610" i="37"/>
  <c r="E1530" i="37"/>
  <c r="E1450" i="37"/>
  <c r="E1370" i="37"/>
  <c r="E1769" i="37"/>
  <c r="E1689" i="37"/>
  <c r="E1609" i="37"/>
  <c r="E1529" i="37"/>
  <c r="E1449" i="37"/>
  <c r="E1369" i="37"/>
  <c r="E1768" i="37"/>
  <c r="E1688" i="37"/>
  <c r="E1787" i="37"/>
  <c r="E1467" i="37"/>
  <c r="E1545" i="37"/>
  <c r="E1713" i="37"/>
  <c r="E1482" i="37"/>
  <c r="E1402" i="37"/>
  <c r="E1322" i="37"/>
  <c r="E1721" i="37"/>
  <c r="E1641" i="37"/>
  <c r="E1561" i="37"/>
  <c r="E1481" i="37"/>
  <c r="E1401" i="37"/>
  <c r="E1321" i="37"/>
  <c r="E1720" i="37"/>
  <c r="E1640" i="37"/>
  <c r="E1560" i="37"/>
  <c r="E1480" i="37"/>
  <c r="E1400" i="37"/>
  <c r="E1320" i="37"/>
  <c r="E1719" i="37"/>
  <c r="E1639" i="37"/>
  <c r="E1559" i="37"/>
  <c r="E1479" i="37"/>
  <c r="E1399" i="37"/>
  <c r="E1319" i="37"/>
  <c r="E1718" i="37"/>
  <c r="E1638" i="37"/>
  <c r="E1388" i="37"/>
  <c r="E1626" i="37"/>
  <c r="E1704" i="37"/>
  <c r="E1751" i="37"/>
  <c r="E1671" i="37"/>
  <c r="E1591" i="37"/>
  <c r="E1511" i="37"/>
  <c r="E1431" i="37"/>
  <c r="E1351" i="37"/>
  <c r="E1750" i="37"/>
  <c r="E1670" i="37"/>
  <c r="E1590" i="37"/>
  <c r="E1510" i="37"/>
  <c r="E1430" i="37"/>
  <c r="E1350" i="37"/>
  <c r="E1749" i="37"/>
  <c r="E1669" i="37"/>
  <c r="E1589" i="37"/>
  <c r="E1509" i="37"/>
  <c r="E1429" i="37"/>
  <c r="E1349" i="37"/>
  <c r="E1748" i="37"/>
  <c r="E1668" i="37"/>
  <c r="E1618" i="37"/>
  <c r="E1478" i="37"/>
  <c r="E1707" i="37"/>
  <c r="E1387" i="37"/>
  <c r="E1785" i="37"/>
  <c r="E1465" i="37"/>
  <c r="E1461" i="37"/>
  <c r="E1381" i="37"/>
  <c r="E1780" i="37"/>
  <c r="E1700" i="37"/>
  <c r="E1620" i="37"/>
  <c r="E1540" i="37"/>
  <c r="E1460" i="37"/>
  <c r="E1380" i="37"/>
  <c r="E1779" i="37"/>
  <c r="E1699" i="37"/>
  <c r="E1619" i="37"/>
  <c r="E1539" i="37"/>
  <c r="E1459" i="37"/>
  <c r="E1379" i="37"/>
  <c r="E1778" i="37"/>
  <c r="E1698" i="37"/>
  <c r="E1598" i="37"/>
  <c r="E1558" i="37"/>
  <c r="E1538" i="37"/>
  <c r="E1546" i="37"/>
  <c r="E1624" i="37"/>
  <c r="E1572" i="37"/>
  <c r="E1492" i="37"/>
  <c r="E1412" i="37"/>
  <c r="E1332" i="37"/>
  <c r="E1731" i="37"/>
  <c r="E1651" i="37"/>
  <c r="E1571" i="37"/>
  <c r="E1491" i="37"/>
  <c r="E1411" i="37"/>
  <c r="E1331" i="37"/>
  <c r="E1730" i="37"/>
  <c r="E1650" i="37"/>
  <c r="E1570" i="37"/>
  <c r="E1490" i="37"/>
  <c r="E1410" i="37"/>
  <c r="E1330" i="37"/>
  <c r="E1729" i="37"/>
  <c r="E1649" i="37"/>
  <c r="E1569" i="37"/>
  <c r="E1489" i="37"/>
  <c r="E1409" i="37"/>
  <c r="E1329" i="37"/>
  <c r="E1728" i="37"/>
  <c r="E1648" i="37"/>
  <c r="E1627" i="37"/>
  <c r="E1705" i="37"/>
  <c r="E1385" i="37"/>
  <c r="E1324" i="37"/>
  <c r="E1522" i="37"/>
  <c r="E1442" i="37"/>
  <c r="E1362" i="37"/>
  <c r="E1761" i="37"/>
  <c r="E1681" i="37"/>
  <c r="E1601" i="37"/>
  <c r="E1521" i="37"/>
  <c r="E1441" i="37"/>
  <c r="E1361" i="37"/>
  <c r="E1760" i="37"/>
  <c r="E1680" i="37"/>
  <c r="E1600" i="37"/>
  <c r="E1520" i="37"/>
  <c r="E1440" i="37"/>
  <c r="E1360" i="37"/>
  <c r="E1759" i="37"/>
  <c r="E1679" i="37"/>
  <c r="E1599" i="37"/>
  <c r="E1519" i="37"/>
  <c r="E1439" i="37"/>
  <c r="E1359" i="37"/>
  <c r="E1758" i="37"/>
  <c r="E1678" i="37"/>
  <c r="E1628" i="37"/>
  <c r="E1468" i="37"/>
  <c r="E1786" i="37"/>
  <c r="E1466" i="37"/>
  <c r="E1544" i="37"/>
  <c r="E1394" i="37"/>
  <c r="E1790" i="37"/>
  <c r="E1710" i="37"/>
  <c r="E1630" i="37"/>
  <c r="E1550" i="37"/>
  <c r="E1470" i="37"/>
  <c r="E1390" i="37"/>
  <c r="E1789" i="37"/>
  <c r="E1709" i="37"/>
  <c r="E1629" i="37"/>
  <c r="E1549" i="37"/>
  <c r="E1469" i="37"/>
  <c r="E1389" i="37"/>
  <c r="E1788" i="37"/>
  <c r="E1708" i="37"/>
  <c r="E1398" i="37"/>
  <c r="E1547" i="37"/>
  <c r="E1625" i="37"/>
  <c r="E1578" i="37"/>
  <c r="E1498" i="37"/>
  <c r="E1418" i="37"/>
  <c r="E1338" i="37"/>
  <c r="E1737" i="37"/>
  <c r="E1657" i="37"/>
  <c r="E1577" i="37"/>
  <c r="E1497" i="37"/>
  <c r="E1417" i="37"/>
  <c r="E1337" i="37"/>
  <c r="E1736" i="37"/>
  <c r="E1656" i="37"/>
  <c r="E1576" i="37"/>
  <c r="E1496" i="37"/>
  <c r="E1416" i="37"/>
  <c r="E1336" i="37"/>
  <c r="E1735" i="37"/>
  <c r="E1655" i="37"/>
  <c r="E1575" i="37"/>
  <c r="E1495" i="37"/>
  <c r="E1415" i="37"/>
  <c r="E1335" i="37"/>
  <c r="E1734" i="37"/>
  <c r="E1654" i="37"/>
  <c r="E1574" i="37"/>
  <c r="E1494" i="37"/>
  <c r="E1304" i="37"/>
  <c r="E1783" i="37"/>
  <c r="E1593" i="37"/>
  <c r="E1528" i="37"/>
  <c r="E1448" i="37"/>
  <c r="E1368" i="37"/>
  <c r="E1767" i="37"/>
  <c r="E1687" i="37"/>
  <c r="E1607" i="37"/>
  <c r="E1527" i="37"/>
  <c r="E1447" i="37"/>
  <c r="E1367" i="37"/>
  <c r="E1766" i="37"/>
  <c r="E1686" i="37"/>
  <c r="E1606" i="37"/>
  <c r="E1526" i="37"/>
  <c r="E1446" i="37"/>
  <c r="E1366" i="37"/>
  <c r="E1765" i="37"/>
  <c r="E1685" i="37"/>
  <c r="E1605" i="37"/>
  <c r="E1525" i="37"/>
  <c r="E1445" i="37"/>
  <c r="E1365" i="37"/>
  <c r="E1764" i="37"/>
  <c r="E1684" i="37"/>
  <c r="E1604" i="37"/>
  <c r="E1524" i="37"/>
  <c r="E1444" i="37"/>
  <c r="E1354" i="37"/>
  <c r="E1763" i="37"/>
  <c r="E1673" i="37"/>
  <c r="E1318" i="37"/>
  <c r="E1717" i="37"/>
  <c r="E1637" i="37"/>
  <c r="E1557" i="37"/>
  <c r="E1477" i="37"/>
  <c r="E1397" i="37"/>
  <c r="E1317" i="37"/>
  <c r="E1716" i="37"/>
  <c r="E1636" i="37"/>
  <c r="E1556" i="37"/>
  <c r="E1476" i="37"/>
  <c r="E1396" i="37"/>
  <c r="E1316" i="37"/>
  <c r="E1715" i="37"/>
  <c r="E1635" i="37"/>
  <c r="E1555" i="37"/>
  <c r="E1475" i="37"/>
  <c r="E1395" i="37"/>
  <c r="E1315" i="37"/>
  <c r="E1714" i="37"/>
  <c r="E1634" i="37"/>
  <c r="E1554" i="37"/>
  <c r="E1474" i="37"/>
  <c r="E1424" i="37"/>
  <c r="E1743" i="37"/>
  <c r="E1633" i="37"/>
  <c r="E1473" i="37"/>
  <c r="E1508" i="37"/>
  <c r="E1428" i="37"/>
  <c r="E1348" i="37"/>
  <c r="E1747" i="37"/>
  <c r="E1667" i="37"/>
  <c r="E1587" i="37"/>
  <c r="E1507" i="37"/>
  <c r="E1427" i="37"/>
  <c r="E1347" i="37"/>
  <c r="E1746" i="37"/>
  <c r="E1666" i="37"/>
  <c r="E1586" i="37"/>
  <c r="E1506" i="37"/>
  <c r="E1426" i="37"/>
  <c r="E1346" i="37"/>
  <c r="E1745" i="37"/>
  <c r="E1665" i="37"/>
  <c r="E1585" i="37"/>
  <c r="E1505" i="37"/>
  <c r="E1425" i="37"/>
  <c r="E1345" i="37"/>
  <c r="E1744" i="37"/>
  <c r="E1664" i="37"/>
  <c r="E1584" i="37"/>
  <c r="E1504" i="37"/>
  <c r="E1404" i="37"/>
  <c r="E1314" i="37"/>
  <c r="E1723" i="37"/>
  <c r="E1458" i="37"/>
  <c r="E1378" i="37"/>
  <c r="E1777" i="37"/>
  <c r="E1697" i="37"/>
  <c r="E1617" i="37"/>
  <c r="E1537" i="37"/>
  <c r="E1457" i="37"/>
  <c r="E1377" i="37"/>
  <c r="E1776" i="37"/>
  <c r="E1696" i="37"/>
  <c r="E1616" i="37"/>
  <c r="E1536" i="37"/>
  <c r="E1456" i="37"/>
  <c r="E1376" i="37"/>
  <c r="E1775" i="37"/>
  <c r="E1695" i="37"/>
  <c r="E1615" i="37"/>
  <c r="E1535" i="37"/>
  <c r="E1455" i="37"/>
  <c r="E1375" i="37"/>
  <c r="E1774" i="37"/>
  <c r="E1694" i="37"/>
  <c r="E1614" i="37"/>
  <c r="E1534" i="37"/>
  <c r="E1454" i="37"/>
  <c r="E1384" i="37"/>
  <c r="E1703" i="37"/>
  <c r="E1513" i="37"/>
  <c r="E1568" i="37"/>
  <c r="E1488" i="37"/>
  <c r="E1408" i="37"/>
  <c r="E1328" i="37"/>
  <c r="E1727" i="37"/>
  <c r="E1647" i="37"/>
  <c r="E1567" i="37"/>
  <c r="E1487" i="37"/>
  <c r="E1407" i="37"/>
  <c r="E1327" i="37"/>
  <c r="E1726" i="37"/>
  <c r="E1646" i="37"/>
  <c r="E1566" i="37"/>
  <c r="E1486" i="37"/>
  <c r="E1406" i="37"/>
  <c r="E1326" i="37"/>
  <c r="E1725" i="37"/>
  <c r="E1645" i="37"/>
  <c r="E1565" i="37"/>
  <c r="E1485" i="37"/>
  <c r="E1405" i="37"/>
  <c r="E1325" i="37"/>
  <c r="E1724" i="37"/>
  <c r="E1644" i="37"/>
  <c r="E1564" i="37"/>
  <c r="E1484" i="37"/>
  <c r="E1434" i="37"/>
  <c r="E1364" i="37"/>
  <c r="E1753" i="37"/>
  <c r="E1683" i="37"/>
  <c r="E1603" i="37"/>
  <c r="E1518" i="37"/>
  <c r="E1438" i="37"/>
  <c r="E1358" i="37"/>
  <c r="E1757" i="37"/>
  <c r="E1677" i="37"/>
  <c r="E1597" i="37"/>
  <c r="E1517" i="37"/>
  <c r="E1437" i="37"/>
  <c r="E1357" i="37"/>
  <c r="E1756" i="37"/>
  <c r="E1676" i="37"/>
  <c r="E1596" i="37"/>
  <c r="E1516" i="37"/>
  <c r="E1436" i="37"/>
  <c r="E1356" i="37"/>
  <c r="E1755" i="37"/>
  <c r="E1675" i="37"/>
  <c r="E1595" i="37"/>
  <c r="E1515" i="37"/>
  <c r="E1435" i="37"/>
  <c r="E1355" i="37"/>
  <c r="E1754" i="37"/>
  <c r="E1674" i="37"/>
  <c r="E1594" i="37"/>
  <c r="E1514" i="37"/>
  <c r="E1344" i="37"/>
  <c r="E1663" i="37"/>
  <c r="E1643" i="37"/>
  <c r="E1553" i="37"/>
  <c r="E1393" i="37"/>
  <c r="E1313" i="37"/>
  <c r="E1222" i="37"/>
  <c r="E1142" i="37"/>
  <c r="E1062" i="37"/>
  <c r="E982" i="37"/>
  <c r="E902" i="37"/>
  <c r="E822" i="37"/>
  <c r="E1221" i="37"/>
  <c r="E1141" i="37"/>
  <c r="E1061" i="37"/>
  <c r="E981" i="37"/>
  <c r="E901" i="37"/>
  <c r="E821" i="37"/>
  <c r="E1220" i="37"/>
  <c r="E1140" i="37"/>
  <c r="E1090" i="37"/>
  <c r="E1000" i="37"/>
  <c r="E930" i="37"/>
  <c r="E910" i="37"/>
  <c r="E890" i="37"/>
  <c r="E1219" i="37"/>
  <c r="E1583" i="37"/>
  <c r="E1503" i="37"/>
  <c r="E1423" i="37"/>
  <c r="E1343" i="37"/>
  <c r="E1172" i="37"/>
  <c r="E1092" i="37"/>
  <c r="E1012" i="37"/>
  <c r="E932" i="37"/>
  <c r="E852" i="37"/>
  <c r="E772" i="37"/>
  <c r="E1171" i="37"/>
  <c r="E1091" i="37"/>
  <c r="E1011" i="37"/>
  <c r="E931" i="37"/>
  <c r="E851" i="37"/>
  <c r="E771" i="37"/>
  <c r="E1170" i="37"/>
  <c r="E1070" i="37"/>
  <c r="E1050" i="37"/>
  <c r="E980" i="37"/>
  <c r="E1239" i="37"/>
  <c r="E1129" i="37"/>
  <c r="E1374" i="37"/>
  <c r="E1773" i="37"/>
  <c r="E1693" i="37"/>
  <c r="E1613" i="37"/>
  <c r="E1533" i="37"/>
  <c r="E1453" i="37"/>
  <c r="E1373" i="37"/>
  <c r="E1202" i="37"/>
  <c r="E1122" i="37"/>
  <c r="E1042" i="37"/>
  <c r="E962" i="37"/>
  <c r="E882" i="37"/>
  <c r="E802" i="37"/>
  <c r="E1201" i="37"/>
  <c r="E1121" i="37"/>
  <c r="E1041" i="37"/>
  <c r="E961" i="37"/>
  <c r="E881" i="37"/>
  <c r="E801" i="37"/>
  <c r="E1200" i="37"/>
  <c r="E1120" i="37"/>
  <c r="E960" i="37"/>
  <c r="E830" i="37"/>
  <c r="E810" i="37"/>
  <c r="E1059" i="37"/>
  <c r="E1563" i="37"/>
  <c r="E1483" i="37"/>
  <c r="E1403" i="37"/>
  <c r="E1323" i="37"/>
  <c r="E1291" i="37"/>
  <c r="E1289" i="37"/>
  <c r="E1287" i="37"/>
  <c r="E1285" i="37"/>
  <c r="E1283" i="37"/>
  <c r="E1281" i="37"/>
  <c r="E1279" i="37"/>
  <c r="E1277" i="37"/>
  <c r="E1275" i="37"/>
  <c r="E1273" i="37"/>
  <c r="E1271" i="37"/>
  <c r="E1269" i="37"/>
  <c r="E1267" i="37"/>
  <c r="E1265" i="37"/>
  <c r="E1263" i="37"/>
  <c r="E1261" i="37"/>
  <c r="E1259" i="37"/>
  <c r="E1257" i="37"/>
  <c r="E1255" i="37"/>
  <c r="E1253" i="37"/>
  <c r="E1251" i="37"/>
  <c r="E1249" i="37"/>
  <c r="E1247" i="37"/>
  <c r="E1245" i="37"/>
  <c r="E1232" i="37"/>
  <c r="E1152" i="37"/>
  <c r="E1072" i="37"/>
  <c r="E992" i="37"/>
  <c r="E912" i="37"/>
  <c r="E832" i="37"/>
  <c r="E1231" i="37"/>
  <c r="E1151" i="37"/>
  <c r="E1071" i="37"/>
  <c r="E991" i="37"/>
  <c r="E911" i="37"/>
  <c r="E831" i="37"/>
  <c r="E1230" i="37"/>
  <c r="E1150" i="37"/>
  <c r="E1209" i="37"/>
  <c r="E1433" i="37"/>
  <c r="E1353" i="37"/>
  <c r="E1182" i="37"/>
  <c r="E1102" i="37"/>
  <c r="E1022" i="37"/>
  <c r="E942" i="37"/>
  <c r="E862" i="37"/>
  <c r="E782" i="37"/>
  <c r="E1181" i="37"/>
  <c r="E1101" i="37"/>
  <c r="E1021" i="37"/>
  <c r="E941" i="37"/>
  <c r="E861" i="37"/>
  <c r="E781" i="37"/>
  <c r="E1180" i="37"/>
  <c r="E1080" i="37"/>
  <c r="E1010" i="37"/>
  <c r="E920" i="37"/>
  <c r="E900" i="37"/>
  <c r="E880" i="37"/>
  <c r="E1623" i="37"/>
  <c r="E1543" i="37"/>
  <c r="E1463" i="37"/>
  <c r="E1383" i="37"/>
  <c r="E1303" i="37"/>
  <c r="E1212" i="37"/>
  <c r="E1132" i="37"/>
  <c r="E1052" i="37"/>
  <c r="E972" i="37"/>
  <c r="E892" i="37"/>
  <c r="E812" i="37"/>
  <c r="E1211" i="37"/>
  <c r="E1131" i="37"/>
  <c r="E1051" i="37"/>
  <c r="E971" i="37"/>
  <c r="E891" i="37"/>
  <c r="E811" i="37"/>
  <c r="E1210" i="37"/>
  <c r="E1130" i="37"/>
  <c r="E1060" i="37"/>
  <c r="E990" i="37"/>
  <c r="E970" i="37"/>
  <c r="E1049" i="37"/>
  <c r="E979" i="37"/>
  <c r="E1414" i="37"/>
  <c r="E1334" i="37"/>
  <c r="E1733" i="37"/>
  <c r="E1653" i="37"/>
  <c r="E1573" i="37"/>
  <c r="E1493" i="37"/>
  <c r="E1413" i="37"/>
  <c r="E1333" i="37"/>
  <c r="E1242" i="37"/>
  <c r="E1162" i="37"/>
  <c r="E1082" i="37"/>
  <c r="E1002" i="37"/>
  <c r="E922" i="37"/>
  <c r="E842" i="37"/>
  <c r="E1241" i="37"/>
  <c r="E1161" i="37"/>
  <c r="E1081" i="37"/>
  <c r="E1001" i="37"/>
  <c r="E921" i="37"/>
  <c r="E841" i="37"/>
  <c r="E1240" i="37"/>
  <c r="E1160" i="37"/>
  <c r="E1040" i="37"/>
  <c r="E840" i="37"/>
  <c r="E820" i="37"/>
  <c r="E800" i="37"/>
  <c r="E1139" i="37"/>
  <c r="E1523" i="37"/>
  <c r="E1443" i="37"/>
  <c r="E1363" i="37"/>
  <c r="E1292" i="37"/>
  <c r="E1290" i="37"/>
  <c r="E1288" i="37"/>
  <c r="E1286" i="37"/>
  <c r="E1284" i="37"/>
  <c r="E1282" i="37"/>
  <c r="E1280" i="37"/>
  <c r="E1278" i="37"/>
  <c r="E1276" i="37"/>
  <c r="E1274" i="37"/>
  <c r="E1272" i="37"/>
  <c r="E1270" i="37"/>
  <c r="E1268" i="37"/>
  <c r="E1266" i="37"/>
  <c r="E1264" i="37"/>
  <c r="E1262" i="37"/>
  <c r="E1260" i="37"/>
  <c r="E1258" i="37"/>
  <c r="E1256" i="37"/>
  <c r="E1254" i="37"/>
  <c r="E1252" i="37"/>
  <c r="E1250" i="37"/>
  <c r="E1248" i="37"/>
  <c r="E1246" i="37"/>
  <c r="E1192" i="37"/>
  <c r="E1112" i="37"/>
  <c r="E1032" i="37"/>
  <c r="E952" i="37"/>
  <c r="E872" i="37"/>
  <c r="E792" i="37"/>
  <c r="E1191" i="37"/>
  <c r="E1111" i="37"/>
  <c r="E1031" i="37"/>
  <c r="E951" i="37"/>
  <c r="E871" i="37"/>
  <c r="E791" i="37"/>
  <c r="E1190" i="37"/>
  <c r="E1110" i="37"/>
  <c r="E1159" i="37"/>
  <c r="E850" i="37"/>
  <c r="E770" i="37"/>
  <c r="E1169" i="37"/>
  <c r="E1089" i="37"/>
  <c r="E1009" i="37"/>
  <c r="E929" i="37"/>
  <c r="E849" i="37"/>
  <c r="E769" i="37"/>
  <c r="E1168" i="37"/>
  <c r="E1088" i="37"/>
  <c r="E1008" i="37"/>
  <c r="E928" i="37"/>
  <c r="E848" i="37"/>
  <c r="E768" i="37"/>
  <c r="E1167" i="37"/>
  <c r="E1087" i="37"/>
  <c r="E1007" i="37"/>
  <c r="E927" i="37"/>
  <c r="E847" i="37"/>
  <c r="E767" i="37"/>
  <c r="E1166" i="37"/>
  <c r="E1086" i="37"/>
  <c r="E1006" i="37"/>
  <c r="E926" i="37"/>
  <c r="E846" i="37"/>
  <c r="E766" i="37"/>
  <c r="E1145" i="37"/>
  <c r="E1125" i="37"/>
  <c r="E1105" i="37"/>
  <c r="E965" i="37"/>
  <c r="E1199" i="37"/>
  <c r="E1119" i="37"/>
  <c r="E1039" i="37"/>
  <c r="E959" i="37"/>
  <c r="E879" i="37"/>
  <c r="E799" i="37"/>
  <c r="E1198" i="37"/>
  <c r="E1118" i="37"/>
  <c r="E1038" i="37"/>
  <c r="E958" i="37"/>
  <c r="E878" i="37"/>
  <c r="E798" i="37"/>
  <c r="E1197" i="37"/>
  <c r="E1117" i="37"/>
  <c r="E1037" i="37"/>
  <c r="E957" i="37"/>
  <c r="E877" i="37"/>
  <c r="E797" i="37"/>
  <c r="E1196" i="37"/>
  <c r="E1116" i="37"/>
  <c r="E1036" i="37"/>
  <c r="E956" i="37"/>
  <c r="E876" i="37"/>
  <c r="E796" i="37"/>
  <c r="E1195" i="37"/>
  <c r="E1229" i="37"/>
  <c r="E1149" i="37"/>
  <c r="E1069" i="37"/>
  <c r="E989" i="37"/>
  <c r="E909" i="37"/>
  <c r="E829" i="37"/>
  <c r="E1228" i="37"/>
  <c r="E1148" i="37"/>
  <c r="E1068" i="37"/>
  <c r="E988" i="37"/>
  <c r="E908" i="37"/>
  <c r="E828" i="37"/>
  <c r="E1227" i="37"/>
  <c r="E1147" i="37"/>
  <c r="E1067" i="37"/>
  <c r="E987" i="37"/>
  <c r="E907" i="37"/>
  <c r="E827" i="37"/>
  <c r="E1226" i="37"/>
  <c r="E1146" i="37"/>
  <c r="E1066" i="37"/>
  <c r="E986" i="37"/>
  <c r="E906" i="37"/>
  <c r="E826" i="37"/>
  <c r="E1225" i="37"/>
  <c r="E1005" i="37"/>
  <c r="E1100" i="37"/>
  <c r="E1020" i="37"/>
  <c r="E940" i="37"/>
  <c r="E860" i="37"/>
  <c r="E780" i="37"/>
  <c r="E1179" i="37"/>
  <c r="E1099" i="37"/>
  <c r="E1019" i="37"/>
  <c r="E939" i="37"/>
  <c r="E859" i="37"/>
  <c r="E779" i="37"/>
  <c r="E1178" i="37"/>
  <c r="E1098" i="37"/>
  <c r="E1018" i="37"/>
  <c r="E938" i="37"/>
  <c r="E858" i="37"/>
  <c r="E778" i="37"/>
  <c r="E1177" i="37"/>
  <c r="E1097" i="37"/>
  <c r="E1017" i="37"/>
  <c r="E937" i="37"/>
  <c r="E857" i="37"/>
  <c r="E777" i="37"/>
  <c r="E1176" i="37"/>
  <c r="E1096" i="37"/>
  <c r="E1016" i="37"/>
  <c r="E936" i="37"/>
  <c r="E856" i="37"/>
  <c r="E776" i="37"/>
  <c r="E1175" i="37"/>
  <c r="E1155" i="37"/>
  <c r="E969" i="37"/>
  <c r="E889" i="37"/>
  <c r="E809" i="37"/>
  <c r="E1208" i="37"/>
  <c r="E1128" i="37"/>
  <c r="E1048" i="37"/>
  <c r="E968" i="37"/>
  <c r="E888" i="37"/>
  <c r="E808" i="37"/>
  <c r="E1207" i="37"/>
  <c r="E1127" i="37"/>
  <c r="E1047" i="37"/>
  <c r="E967" i="37"/>
  <c r="E887" i="37"/>
  <c r="E807" i="37"/>
  <c r="E1206" i="37"/>
  <c r="E1126" i="37"/>
  <c r="E1046" i="37"/>
  <c r="E966" i="37"/>
  <c r="E886" i="37"/>
  <c r="E806" i="37"/>
  <c r="E1205" i="37"/>
  <c r="E1045" i="37"/>
  <c r="E1079" i="37"/>
  <c r="E999" i="37"/>
  <c r="E919" i="37"/>
  <c r="E839" i="37"/>
  <c r="E759" i="37"/>
  <c r="E1238" i="37"/>
  <c r="E1158" i="37"/>
  <c r="E1078" i="37"/>
  <c r="E998" i="37"/>
  <c r="E918" i="37"/>
  <c r="E838" i="37"/>
  <c r="E758" i="37"/>
  <c r="E1237" i="37"/>
  <c r="E1157" i="37"/>
  <c r="E1077" i="37"/>
  <c r="E997" i="37"/>
  <c r="E917" i="37"/>
  <c r="E837" i="37"/>
  <c r="E757" i="37"/>
  <c r="E1236" i="37"/>
  <c r="E1156" i="37"/>
  <c r="E1076" i="37"/>
  <c r="E996" i="37"/>
  <c r="E916" i="37"/>
  <c r="E836" i="37"/>
  <c r="E756" i="37"/>
  <c r="E1235" i="37"/>
  <c r="E925" i="37"/>
  <c r="E1030" i="37"/>
  <c r="E950" i="37"/>
  <c r="E870" i="37"/>
  <c r="E790" i="37"/>
  <c r="E1189" i="37"/>
  <c r="E1109" i="37"/>
  <c r="E1029" i="37"/>
  <c r="E949" i="37"/>
  <c r="E869" i="37"/>
  <c r="E789" i="37"/>
  <c r="E1188" i="37"/>
  <c r="E1108" i="37"/>
  <c r="E1028" i="37"/>
  <c r="E948" i="37"/>
  <c r="E868" i="37"/>
  <c r="E788" i="37"/>
  <c r="E1187" i="37"/>
  <c r="E1107" i="37"/>
  <c r="E1027" i="37"/>
  <c r="E947" i="37"/>
  <c r="E867" i="37"/>
  <c r="E787" i="37"/>
  <c r="E1186" i="37"/>
  <c r="E1106" i="37"/>
  <c r="E1026" i="37"/>
  <c r="E946" i="37"/>
  <c r="E866" i="37"/>
  <c r="E786" i="37"/>
  <c r="E1185" i="37"/>
  <c r="E1085" i="37"/>
  <c r="E819" i="37"/>
  <c r="E1218" i="37"/>
  <c r="E1138" i="37"/>
  <c r="E1058" i="37"/>
  <c r="E978" i="37"/>
  <c r="E898" i="37"/>
  <c r="E818" i="37"/>
  <c r="E1217" i="37"/>
  <c r="E1137" i="37"/>
  <c r="E1057" i="37"/>
  <c r="E977" i="37"/>
  <c r="E897" i="37"/>
  <c r="E817" i="37"/>
  <c r="E1216" i="37"/>
  <c r="E1136" i="37"/>
  <c r="E1056" i="37"/>
  <c r="E976" i="37"/>
  <c r="E896" i="37"/>
  <c r="E816" i="37"/>
  <c r="E1215" i="37"/>
  <c r="E1165" i="37"/>
  <c r="E1075" i="37"/>
  <c r="E995" i="37"/>
  <c r="E915" i="37"/>
  <c r="E835" i="37"/>
  <c r="E755" i="37"/>
  <c r="E1234" i="37"/>
  <c r="E1154" i="37"/>
  <c r="E1074" i="37"/>
  <c r="E994" i="37"/>
  <c r="E914" i="37"/>
  <c r="E834" i="37"/>
  <c r="E754" i="37"/>
  <c r="E1233" i="37"/>
  <c r="E1153" i="37"/>
  <c r="E1073" i="37"/>
  <c r="E993" i="37"/>
  <c r="E913" i="37"/>
  <c r="E833" i="37"/>
  <c r="E753" i="37"/>
  <c r="E1025" i="37"/>
  <c r="E945" i="37"/>
  <c r="E865" i="37"/>
  <c r="E785" i="37"/>
  <c r="E1184" i="37"/>
  <c r="E1104" i="37"/>
  <c r="E1024" i="37"/>
  <c r="E944" i="37"/>
  <c r="E864" i="37"/>
  <c r="E784" i="37"/>
  <c r="E1183" i="37"/>
  <c r="E1103" i="37"/>
  <c r="E1023" i="37"/>
  <c r="E943" i="37"/>
  <c r="E863" i="37"/>
  <c r="E783" i="37"/>
  <c r="E1135" i="37"/>
  <c r="E1055" i="37"/>
  <c r="E975" i="37"/>
  <c r="E895" i="37"/>
  <c r="E815" i="37"/>
  <c r="E1214" i="37"/>
  <c r="E1134" i="37"/>
  <c r="E1054" i="37"/>
  <c r="E974" i="37"/>
  <c r="E894" i="37"/>
  <c r="E814" i="37"/>
  <c r="E1213" i="37"/>
  <c r="E1133" i="37"/>
  <c r="E1053" i="37"/>
  <c r="E973" i="37"/>
  <c r="E893" i="37"/>
  <c r="E813" i="37"/>
  <c r="E741" i="37"/>
  <c r="E739" i="37"/>
  <c r="E737" i="37"/>
  <c r="E735" i="37"/>
  <c r="E733" i="37"/>
  <c r="E731" i="37"/>
  <c r="E729" i="37"/>
  <c r="E727" i="37"/>
  <c r="E725" i="37"/>
  <c r="E723" i="37"/>
  <c r="E721" i="37"/>
  <c r="E719" i="37"/>
  <c r="E717" i="37"/>
  <c r="E715" i="37"/>
  <c r="E713" i="37"/>
  <c r="E711" i="37"/>
  <c r="E709" i="37"/>
  <c r="E707" i="37"/>
  <c r="E705" i="37"/>
  <c r="E703" i="37"/>
  <c r="E701" i="37"/>
  <c r="E699" i="37"/>
  <c r="E697" i="37"/>
  <c r="E695" i="37"/>
  <c r="D661" i="37"/>
  <c r="D662" i="37" s="1"/>
  <c r="D663" i="37" s="1"/>
  <c r="D664" i="37" s="1"/>
  <c r="D665" i="37" s="1"/>
  <c r="E660" i="37"/>
  <c r="E1084" i="37"/>
  <c r="E1004" i="37"/>
  <c r="E924" i="37"/>
  <c r="E844" i="37"/>
  <c r="E764" i="37"/>
  <c r="E1163" i="37"/>
  <c r="E1083" i="37"/>
  <c r="E1003" i="37"/>
  <c r="E923" i="37"/>
  <c r="E843" i="37"/>
  <c r="E763" i="37"/>
  <c r="E1115" i="37"/>
  <c r="E1035" i="37"/>
  <c r="E955" i="37"/>
  <c r="E875" i="37"/>
  <c r="E795" i="37"/>
  <c r="E1194" i="37"/>
  <c r="E1114" i="37"/>
  <c r="E1034" i="37"/>
  <c r="E954" i="37"/>
  <c r="E874" i="37"/>
  <c r="E794" i="37"/>
  <c r="E1193" i="37"/>
  <c r="E1113" i="37"/>
  <c r="E1033" i="37"/>
  <c r="E953" i="37"/>
  <c r="E873" i="37"/>
  <c r="E793" i="37"/>
  <c r="C570" i="37"/>
  <c r="C580" i="37" s="1"/>
  <c r="C590" i="37" s="1"/>
  <c r="C600" i="37" s="1"/>
  <c r="C610" i="37" s="1"/>
  <c r="C620" i="37" s="1"/>
  <c r="C630" i="37" s="1"/>
  <c r="C640" i="37" s="1"/>
  <c r="E560" i="37"/>
  <c r="E1065" i="37"/>
  <c r="E985" i="37"/>
  <c r="E905" i="37"/>
  <c r="E825" i="37"/>
  <c r="E1224" i="37"/>
  <c r="E1144" i="37"/>
  <c r="E1064" i="37"/>
  <c r="E984" i="37"/>
  <c r="E904" i="37"/>
  <c r="E824" i="37"/>
  <c r="E1223" i="37"/>
  <c r="E1143" i="37"/>
  <c r="E1063" i="37"/>
  <c r="E983" i="37"/>
  <c r="E903" i="37"/>
  <c r="E823" i="37"/>
  <c r="E1095" i="37"/>
  <c r="E1015" i="37"/>
  <c r="E935" i="37"/>
  <c r="E855" i="37"/>
  <c r="E775" i="37"/>
  <c r="E1174" i="37"/>
  <c r="E1094" i="37"/>
  <c r="E1014" i="37"/>
  <c r="E934" i="37"/>
  <c r="E854" i="37"/>
  <c r="E774" i="37"/>
  <c r="E1173" i="37"/>
  <c r="E1093" i="37"/>
  <c r="E1013" i="37"/>
  <c r="E933" i="37"/>
  <c r="E853" i="37"/>
  <c r="E773" i="37"/>
  <c r="E742" i="37"/>
  <c r="E740" i="37"/>
  <c r="E738" i="37"/>
  <c r="E736" i="37"/>
  <c r="E734" i="37"/>
  <c r="E732" i="37"/>
  <c r="E730" i="37"/>
  <c r="E728" i="37"/>
  <c r="E726" i="37"/>
  <c r="E724" i="37"/>
  <c r="E722" i="37"/>
  <c r="E720" i="37"/>
  <c r="E718" i="37"/>
  <c r="E716" i="37"/>
  <c r="E714" i="37"/>
  <c r="E712" i="37"/>
  <c r="E710" i="37"/>
  <c r="E708" i="37"/>
  <c r="E706" i="37"/>
  <c r="E704" i="37"/>
  <c r="E702" i="37"/>
  <c r="E700" i="37"/>
  <c r="E698" i="37"/>
  <c r="E696" i="37"/>
  <c r="E694" i="37"/>
  <c r="E585" i="37"/>
  <c r="C595" i="37"/>
  <c r="C605" i="37" s="1"/>
  <c r="C615" i="37" s="1"/>
  <c r="C625" i="37" s="1"/>
  <c r="C635" i="37" s="1"/>
  <c r="E885" i="37"/>
  <c r="E805" i="37"/>
  <c r="E1204" i="37"/>
  <c r="E1124" i="37"/>
  <c r="E1044" i="37"/>
  <c r="E964" i="37"/>
  <c r="E884" i="37"/>
  <c r="E804" i="37"/>
  <c r="E1203" i="37"/>
  <c r="E1123" i="37"/>
  <c r="E1043" i="37"/>
  <c r="E963" i="37"/>
  <c r="E883" i="37"/>
  <c r="E803" i="37"/>
  <c r="E602" i="37"/>
  <c r="E522" i="37"/>
  <c r="E442" i="37"/>
  <c r="E362" i="37"/>
  <c r="E282" i="37"/>
  <c r="E631" i="37"/>
  <c r="E551" i="37"/>
  <c r="E471" i="37"/>
  <c r="E391" i="37"/>
  <c r="E311" i="37"/>
  <c r="E231" i="37"/>
  <c r="E520" i="37"/>
  <c r="E440" i="37"/>
  <c r="E390" i="37"/>
  <c r="E230" i="37"/>
  <c r="E508" i="37"/>
  <c r="E347" i="37"/>
  <c r="E506" i="37"/>
  <c r="E535" i="37"/>
  <c r="E632" i="37"/>
  <c r="E552" i="37"/>
  <c r="E472" i="37"/>
  <c r="E392" i="37"/>
  <c r="E312" i="37"/>
  <c r="E232" i="37"/>
  <c r="E182" i="37"/>
  <c r="E581" i="37"/>
  <c r="E501" i="37"/>
  <c r="E421" i="37"/>
  <c r="E341" i="37"/>
  <c r="E261" i="37"/>
  <c r="E181" i="37"/>
  <c r="E580" i="37"/>
  <c r="E550" i="37"/>
  <c r="E470" i="37"/>
  <c r="E370" i="37"/>
  <c r="E280" i="37"/>
  <c r="E210" i="37"/>
  <c r="E599" i="37"/>
  <c r="E559" i="37"/>
  <c r="E519" i="37"/>
  <c r="E479" i="37"/>
  <c r="E389" i="37"/>
  <c r="E213" i="37"/>
  <c r="E582" i="37"/>
  <c r="E502" i="37"/>
  <c r="E422" i="37"/>
  <c r="E342" i="37"/>
  <c r="E262" i="37"/>
  <c r="E212" i="37"/>
  <c r="E611" i="37"/>
  <c r="E531" i="37"/>
  <c r="E451" i="37"/>
  <c r="E371" i="37"/>
  <c r="E291" i="37"/>
  <c r="E211" i="37"/>
  <c r="E610" i="37"/>
  <c r="E500" i="37"/>
  <c r="E420" i="37"/>
  <c r="E350" i="37"/>
  <c r="E190" i="37"/>
  <c r="E269" i="37"/>
  <c r="E428" i="37"/>
  <c r="E587" i="37"/>
  <c r="E267" i="37"/>
  <c r="E426" i="37"/>
  <c r="E215" i="37"/>
  <c r="E664" i="37"/>
  <c r="E662" i="37"/>
  <c r="E644" i="37"/>
  <c r="E612" i="37"/>
  <c r="E532" i="37"/>
  <c r="E452" i="37"/>
  <c r="E372" i="37"/>
  <c r="E292" i="37"/>
  <c r="E162" i="37"/>
  <c r="E641" i="37"/>
  <c r="E561" i="37"/>
  <c r="E481" i="37"/>
  <c r="E401" i="37"/>
  <c r="E321" i="37"/>
  <c r="E241" i="37"/>
  <c r="E161" i="37"/>
  <c r="E640" i="37"/>
  <c r="E530" i="37"/>
  <c r="E450" i="37"/>
  <c r="E400" i="37"/>
  <c r="E330" i="37"/>
  <c r="E240" i="37"/>
  <c r="E170" i="37"/>
  <c r="E429" i="37"/>
  <c r="E326" i="37"/>
  <c r="E658" i="37"/>
  <c r="E656" i="37"/>
  <c r="E654" i="37"/>
  <c r="E652" i="37"/>
  <c r="E650" i="37"/>
  <c r="E648" i="37"/>
  <c r="E646" i="37"/>
  <c r="E642" i="37"/>
  <c r="E562" i="37"/>
  <c r="E482" i="37"/>
  <c r="E402" i="37"/>
  <c r="E322" i="37"/>
  <c r="E242" i="37"/>
  <c r="E192" i="37"/>
  <c r="E591" i="37"/>
  <c r="E511" i="37"/>
  <c r="E431" i="37"/>
  <c r="E351" i="37"/>
  <c r="E271" i="37"/>
  <c r="E191" i="37"/>
  <c r="E590" i="37"/>
  <c r="E480" i="37"/>
  <c r="E310" i="37"/>
  <c r="E629" i="37"/>
  <c r="E189" i="37"/>
  <c r="E348" i="37"/>
  <c r="E507" i="37"/>
  <c r="E374" i="37"/>
  <c r="E592" i="37"/>
  <c r="E512" i="37"/>
  <c r="E432" i="37"/>
  <c r="E352" i="37"/>
  <c r="E272" i="37"/>
  <c r="E222" i="37"/>
  <c r="E621" i="37"/>
  <c r="E541" i="37"/>
  <c r="E461" i="37"/>
  <c r="E381" i="37"/>
  <c r="E301" i="37"/>
  <c r="E221" i="37"/>
  <c r="E620" i="37"/>
  <c r="E510" i="37"/>
  <c r="E430" i="37"/>
  <c r="E360" i="37"/>
  <c r="E290" i="37"/>
  <c r="E200" i="37"/>
  <c r="E609" i="37"/>
  <c r="E589" i="37"/>
  <c r="E549" i="37"/>
  <c r="E509" i="37"/>
  <c r="E469" i="37"/>
  <c r="E622" i="37"/>
  <c r="E542" i="37"/>
  <c r="E462" i="37"/>
  <c r="E382" i="37"/>
  <c r="E302" i="37"/>
  <c r="E172" i="37"/>
  <c r="E571" i="37"/>
  <c r="E491" i="37"/>
  <c r="E411" i="37"/>
  <c r="E331" i="37"/>
  <c r="E251" i="37"/>
  <c r="E171" i="37"/>
  <c r="E570" i="37"/>
  <c r="E540" i="37"/>
  <c r="E460" i="37"/>
  <c r="E270" i="37"/>
  <c r="E588" i="37"/>
  <c r="E268" i="37"/>
  <c r="E427" i="37"/>
  <c r="E586" i="37"/>
  <c r="E663" i="37"/>
  <c r="E661" i="37"/>
  <c r="E572" i="37"/>
  <c r="E492" i="37"/>
  <c r="E412" i="37"/>
  <c r="E332" i="37"/>
  <c r="E252" i="37"/>
  <c r="E202" i="37"/>
  <c r="E601" i="37"/>
  <c r="E521" i="37"/>
  <c r="E441" i="37"/>
  <c r="E361" i="37"/>
  <c r="E281" i="37"/>
  <c r="E201" i="37"/>
  <c r="E600" i="37"/>
  <c r="E490" i="37"/>
  <c r="E410" i="37"/>
  <c r="E320" i="37"/>
  <c r="E250" i="37"/>
  <c r="E639" i="37"/>
  <c r="E349" i="37"/>
  <c r="E533" i="37"/>
  <c r="E380" i="37"/>
  <c r="E300" i="37"/>
  <c r="E220" i="37"/>
  <c r="E619" i="37"/>
  <c r="E539" i="37"/>
  <c r="E459" i="37"/>
  <c r="E379" i="37"/>
  <c r="E299" i="37"/>
  <c r="E219" i="37"/>
  <c r="E618" i="37"/>
  <c r="E538" i="37"/>
  <c r="E458" i="37"/>
  <c r="E378" i="37"/>
  <c r="E298" i="37"/>
  <c r="E218" i="37"/>
  <c r="E617" i="37"/>
  <c r="E537" i="37"/>
  <c r="E457" i="37"/>
  <c r="E377" i="37"/>
  <c r="E297" i="37"/>
  <c r="E217" i="37"/>
  <c r="E616" i="37"/>
  <c r="E536" i="37"/>
  <c r="E456" i="37"/>
  <c r="E376" i="37"/>
  <c r="E569" i="37"/>
  <c r="E489" i="37"/>
  <c r="E409" i="37"/>
  <c r="E329" i="37"/>
  <c r="E249" i="37"/>
  <c r="E169" i="37"/>
  <c r="E568" i="37"/>
  <c r="E488" i="37"/>
  <c r="E408" i="37"/>
  <c r="E328" i="37"/>
  <c r="E248" i="37"/>
  <c r="E168" i="37"/>
  <c r="E567" i="37"/>
  <c r="E487" i="37"/>
  <c r="E407" i="37"/>
  <c r="E327" i="37"/>
  <c r="E247" i="37"/>
  <c r="E167" i="37"/>
  <c r="E566" i="37"/>
  <c r="E486" i="37"/>
  <c r="E406" i="37"/>
  <c r="E356" i="37"/>
  <c r="E455" i="37"/>
  <c r="E614" i="37"/>
  <c r="E294" i="37"/>
  <c r="E453" i="37"/>
  <c r="E137" i="37"/>
  <c r="E129" i="37"/>
  <c r="E121" i="37"/>
  <c r="E113" i="37"/>
  <c r="E105" i="37"/>
  <c r="E97" i="37"/>
  <c r="E439" i="37"/>
  <c r="E359" i="37"/>
  <c r="E279" i="37"/>
  <c r="E199" i="37"/>
  <c r="E598" i="37"/>
  <c r="E518" i="37"/>
  <c r="E438" i="37"/>
  <c r="E358" i="37"/>
  <c r="E278" i="37"/>
  <c r="E198" i="37"/>
  <c r="E597" i="37"/>
  <c r="E517" i="37"/>
  <c r="E437" i="37"/>
  <c r="E357" i="37"/>
  <c r="E277" i="37"/>
  <c r="E197" i="37"/>
  <c r="E596" i="37"/>
  <c r="E516" i="37"/>
  <c r="E436" i="37"/>
  <c r="E309" i="37"/>
  <c r="E229" i="37"/>
  <c r="E628" i="37"/>
  <c r="E548" i="37"/>
  <c r="E468" i="37"/>
  <c r="E388" i="37"/>
  <c r="E308" i="37"/>
  <c r="E228" i="37"/>
  <c r="E627" i="37"/>
  <c r="E547" i="37"/>
  <c r="E467" i="37"/>
  <c r="E387" i="37"/>
  <c r="E307" i="37"/>
  <c r="E227" i="37"/>
  <c r="E626" i="37"/>
  <c r="E546" i="37"/>
  <c r="E466" i="37"/>
  <c r="E386" i="37"/>
  <c r="E316" i="37"/>
  <c r="E276" i="37"/>
  <c r="E206" i="37"/>
  <c r="E166" i="37"/>
  <c r="E375" i="37"/>
  <c r="E534" i="37"/>
  <c r="E214" i="37"/>
  <c r="E373" i="37"/>
  <c r="E139" i="37"/>
  <c r="E131" i="37"/>
  <c r="E123" i="37"/>
  <c r="E115" i="37"/>
  <c r="E107" i="37"/>
  <c r="E99" i="37"/>
  <c r="E340" i="37"/>
  <c r="E260" i="37"/>
  <c r="E180" i="37"/>
  <c r="E579" i="37"/>
  <c r="E499" i="37"/>
  <c r="E419" i="37"/>
  <c r="E339" i="37"/>
  <c r="E259" i="37"/>
  <c r="E179" i="37"/>
  <c r="E578" i="37"/>
  <c r="E498" i="37"/>
  <c r="E418" i="37"/>
  <c r="E338" i="37"/>
  <c r="E258" i="37"/>
  <c r="E178" i="37"/>
  <c r="E577" i="37"/>
  <c r="E497" i="37"/>
  <c r="E417" i="37"/>
  <c r="E337" i="37"/>
  <c r="E257" i="37"/>
  <c r="E177" i="37"/>
  <c r="E576" i="37"/>
  <c r="E496" i="37"/>
  <c r="E416" i="37"/>
  <c r="E366" i="37"/>
  <c r="E296" i="37"/>
  <c r="E529" i="37"/>
  <c r="E449" i="37"/>
  <c r="E369" i="37"/>
  <c r="E289" i="37"/>
  <c r="E209" i="37"/>
  <c r="E608" i="37"/>
  <c r="E528" i="37"/>
  <c r="E448" i="37"/>
  <c r="E368" i="37"/>
  <c r="E288" i="37"/>
  <c r="E208" i="37"/>
  <c r="E607" i="37"/>
  <c r="E527" i="37"/>
  <c r="E447" i="37"/>
  <c r="E367" i="37"/>
  <c r="E287" i="37"/>
  <c r="E207" i="37"/>
  <c r="E606" i="37"/>
  <c r="E526" i="37"/>
  <c r="E446" i="37"/>
  <c r="E246" i="37"/>
  <c r="E295" i="37"/>
  <c r="E454" i="37"/>
  <c r="E613" i="37"/>
  <c r="E293" i="37"/>
  <c r="E141" i="37"/>
  <c r="E133" i="37"/>
  <c r="E125" i="37"/>
  <c r="E117" i="37"/>
  <c r="E109" i="37"/>
  <c r="E101" i="37"/>
  <c r="E399" i="37"/>
  <c r="E319" i="37"/>
  <c r="E239" i="37"/>
  <c r="E638" i="37"/>
  <c r="E558" i="37"/>
  <c r="E478" i="37"/>
  <c r="E398" i="37"/>
  <c r="E318" i="37"/>
  <c r="E238" i="37"/>
  <c r="E637" i="37"/>
  <c r="E557" i="37"/>
  <c r="E477" i="37"/>
  <c r="E397" i="37"/>
  <c r="E317" i="37"/>
  <c r="E237" i="37"/>
  <c r="E636" i="37"/>
  <c r="E556" i="37"/>
  <c r="E476" i="37"/>
  <c r="E396" i="37"/>
  <c r="E346" i="37"/>
  <c r="E196" i="37"/>
  <c r="E595" i="37"/>
  <c r="E565" i="37"/>
  <c r="E485" i="37"/>
  <c r="E405" i="37"/>
  <c r="E325" i="37"/>
  <c r="E245" i="37"/>
  <c r="E165" i="37"/>
  <c r="E564" i="37"/>
  <c r="E484" i="37"/>
  <c r="E404" i="37"/>
  <c r="E324" i="37"/>
  <c r="E244" i="37"/>
  <c r="E164" i="37"/>
  <c r="E563" i="37"/>
  <c r="E483" i="37"/>
  <c r="E403" i="37"/>
  <c r="E323" i="37"/>
  <c r="E243" i="37"/>
  <c r="E163" i="37"/>
  <c r="E306" i="37"/>
  <c r="E226" i="37"/>
  <c r="E625" i="37"/>
  <c r="E515" i="37"/>
  <c r="E435" i="37"/>
  <c r="E355" i="37"/>
  <c r="E275" i="37"/>
  <c r="E195" i="37"/>
  <c r="E594" i="37"/>
  <c r="E514" i="37"/>
  <c r="E434" i="37"/>
  <c r="E354" i="37"/>
  <c r="E274" i="37"/>
  <c r="E194" i="37"/>
  <c r="E593" i="37"/>
  <c r="E513" i="37"/>
  <c r="E433" i="37"/>
  <c r="E353" i="37"/>
  <c r="E273" i="37"/>
  <c r="E193" i="37"/>
  <c r="E336" i="37"/>
  <c r="E256" i="37"/>
  <c r="E176" i="37"/>
  <c r="E545" i="37"/>
  <c r="E465" i="37"/>
  <c r="E385" i="37"/>
  <c r="E305" i="37"/>
  <c r="E225" i="37"/>
  <c r="E624" i="37"/>
  <c r="E544" i="37"/>
  <c r="E464" i="37"/>
  <c r="E384" i="37"/>
  <c r="E304" i="37"/>
  <c r="E224" i="37"/>
  <c r="E623" i="37"/>
  <c r="E543" i="37"/>
  <c r="E463" i="37"/>
  <c r="E383" i="37"/>
  <c r="E303" i="37"/>
  <c r="E223" i="37"/>
  <c r="E605" i="37"/>
  <c r="E575" i="37"/>
  <c r="E495" i="37"/>
  <c r="E415" i="37"/>
  <c r="E335" i="37"/>
  <c r="E255" i="37"/>
  <c r="E175" i="37"/>
  <c r="E574" i="37"/>
  <c r="E494" i="37"/>
  <c r="E414" i="37"/>
  <c r="E334" i="37"/>
  <c r="E254" i="37"/>
  <c r="E174" i="37"/>
  <c r="E573" i="37"/>
  <c r="E493" i="37"/>
  <c r="E413" i="37"/>
  <c r="E333" i="37"/>
  <c r="E253" i="37"/>
  <c r="E173" i="37"/>
  <c r="E142" i="37"/>
  <c r="E140" i="37"/>
  <c r="E138" i="37"/>
  <c r="E136" i="37"/>
  <c r="E134" i="37"/>
  <c r="E132" i="37"/>
  <c r="E130" i="37"/>
  <c r="E128" i="37"/>
  <c r="E126" i="37"/>
  <c r="E124" i="37"/>
  <c r="E122" i="37"/>
  <c r="E120" i="37"/>
  <c r="E118" i="37"/>
  <c r="E116" i="37"/>
  <c r="E114" i="37"/>
  <c r="E112" i="37"/>
  <c r="E110" i="37"/>
  <c r="E108" i="37"/>
  <c r="E106" i="37"/>
  <c r="E104" i="37"/>
  <c r="E102" i="37"/>
  <c r="E100" i="37"/>
  <c r="E98" i="37"/>
  <c r="E96" i="37"/>
  <c r="E236" i="37"/>
  <c r="E156" i="37"/>
  <c r="E635" i="37"/>
  <c r="E525" i="37"/>
  <c r="E445" i="37"/>
  <c r="E365" i="37"/>
  <c r="E285" i="37"/>
  <c r="E205" i="37"/>
  <c r="E604" i="37"/>
  <c r="E524" i="37"/>
  <c r="E444" i="37"/>
  <c r="E364" i="37"/>
  <c r="E284" i="37"/>
  <c r="E204" i="37"/>
  <c r="E603" i="37"/>
  <c r="E523" i="37"/>
  <c r="E443" i="37"/>
  <c r="E363" i="37"/>
  <c r="E283" i="37"/>
  <c r="E203" i="37"/>
  <c r="E266" i="37"/>
  <c r="E186" i="37"/>
  <c r="E555" i="37"/>
  <c r="E475" i="37"/>
  <c r="E395" i="37"/>
  <c r="E315" i="37"/>
  <c r="E235" i="37"/>
  <c r="E155" i="37"/>
  <c r="E634" i="37"/>
  <c r="E554" i="37"/>
  <c r="E474" i="37"/>
  <c r="E394" i="37"/>
  <c r="E314" i="37"/>
  <c r="E234" i="37"/>
  <c r="E154" i="37"/>
  <c r="E633" i="37"/>
  <c r="E553" i="37"/>
  <c r="E473" i="37"/>
  <c r="E393" i="37"/>
  <c r="E313" i="37"/>
  <c r="E233" i="37"/>
  <c r="E153" i="37"/>
  <c r="E216" i="37"/>
  <c r="E615" i="37"/>
  <c r="E505" i="37"/>
  <c r="E425" i="37"/>
  <c r="E345" i="37"/>
  <c r="E265" i="37"/>
  <c r="E185" i="37"/>
  <c r="E584" i="37"/>
  <c r="E504" i="37"/>
  <c r="E424" i="37"/>
  <c r="E344" i="37"/>
  <c r="E264" i="37"/>
  <c r="E184" i="37"/>
  <c r="E583" i="37"/>
  <c r="E503" i="37"/>
  <c r="E423" i="37"/>
  <c r="E343" i="37"/>
  <c r="E263" i="37"/>
  <c r="E183" i="37"/>
  <c r="E630" i="37" l="1"/>
  <c r="D666" i="37"/>
  <c r="E665"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E677" i="37" l="1"/>
  <c r="D678"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D690" i="37" l="1"/>
  <c r="E689" i="37"/>
  <c r="D691" i="37" l="1"/>
  <c r="E690" i="37"/>
  <c r="D692" i="37" l="1"/>
  <c r="E692" i="37" s="1"/>
  <c r="E691" i="37"/>
</calcChain>
</file>

<file path=xl/sharedStrings.xml><?xml version="1.0" encoding="utf-8"?>
<sst xmlns="http://schemas.openxmlformats.org/spreadsheetml/2006/main" count="2192" uniqueCount="185">
  <si>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</si>
  <si>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</si>
  <si>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</si>
  <si>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</si>
  <si>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</si>
  <si>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</si>
  <si>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</si>
  <si>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</si>
  <si>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</si>
  <si>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</si>
  <si>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</si>
  <si>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</si>
  <si>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</si>
  <si>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</si>
  <si>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</si>
  <si>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</si>
  <si>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</si>
  <si>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</si>
  <si>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</si>
  <si>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</si>
  <si>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</si>
  <si>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</si>
  <si>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</si>
  <si>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</si>
  <si>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</si>
  <si>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</si>
  <si>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</si>
  <si>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</si>
  <si>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</si>
  <si>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</si>
  <si>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</si>
  <si>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</si>
  <si>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</si>
  <si>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</si>
  <si>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</si>
  <si>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</si>
  <si>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</si>
  <si>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</si>
  <si>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</si>
  <si>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</si>
  <si>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</si>
  <si>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</si>
  <si>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</si>
  <si>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</si>
  <si>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</si>
  <si>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</si>
  <si>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</si>
  <si>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</si>
  <si>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</si>
  <si>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</si>
  <si>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</si>
  <si>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</si>
  <si>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</si>
  <si>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</si>
  <si>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</si>
  <si>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</si>
  <si>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</si>
  <si>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</si>
  <si>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</si>
  <si>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</si>
  <si>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</si>
  <si>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</si>
  <si>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</si>
  <si>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</si>
  <si>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</si>
  <si>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</si>
  <si>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</si>
  <si>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</si>
  <si>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</si>
  <si>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</si>
  <si>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</si>
  <si>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</si>
  <si>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</si>
  <si>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</si>
  <si>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</si>
  <si>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</si>
  <si>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</si>
  <si>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</si>
  <si>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</si>
  <si>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</si>
  <si>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</si>
  <si>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</si>
  <si>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</si>
  <si>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</si>
  <si>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</si>
  <si>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</si>
  <si>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</si>
  <si>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</si>
  <si>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</si>
  <si>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</si>
  <si>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</si>
  <si>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</si>
  <si>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</si>
  <si>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</si>
  <si>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</si>
  <si>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</si>
  <si>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</si>
  <si>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</si>
  <si>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</si>
  <si>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</si>
  <si>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</si>
  <si>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</si>
  <si>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</si>
  <si>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</si>
  <si>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</si>
  <si>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</si>
  <si>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</si>
  <si>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</si>
  <si>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</si>
  <si>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</si>
  <si>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</si>
  <si>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</si>
  <si>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</si>
  <si>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</si>
  <si>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</si>
  <si>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</si>
  <si>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</si>
  <si>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</si>
  <si>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</si>
  <si>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</si>
  <si>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</si>
  <si>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</si>
  <si>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</si>
  <si>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</si>
  <si>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</si>
  <si>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</si>
  <si>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</si>
  <si>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</si>
  <si>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</si>
  <si>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</si>
  <si>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</si>
  <si>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</si>
  <si>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</si>
  <si>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</si>
  <si>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</si>
  <si>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</si>
  <si>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</si>
  <si>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</si>
  <si>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</si>
  <si>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</si>
  <si>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</si>
  <si>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</si>
  <si>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</si>
  <si>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</si>
  <si>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</si>
  <si>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</si>
  <si>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</si>
  <si>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</si>
  <si>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</si>
  <si>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</si>
  <si>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</si>
  <si>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</si>
  <si>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</si>
  <si>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CS1</t>
  </si>
  <si>
    <t>Simulation(s) completed!</t>
  </si>
  <si>
    <t>Work Station</t>
  </si>
  <si>
    <t>Door</t>
  </si>
  <si>
    <t>Entrances:</t>
  </si>
  <si>
    <t>Work Stations:</t>
  </si>
  <si>
    <t>Buffers:</t>
  </si>
  <si>
    <t xml:space="preserve"> Col. num. to graph:</t>
  </si>
  <si>
    <t>Col. num.</t>
  </si>
  <si>
    <t>Decision Points:</t>
  </si>
  <si>
    <t>Arrivals</t>
  </si>
  <si>
    <t>Line</t>
  </si>
  <si>
    <t>CS Person 1</t>
  </si>
  <si>
    <t>CS Person 2</t>
  </si>
  <si>
    <t>CS Person 3</t>
  </si>
  <si>
    <t>CS Person 4</t>
  </si>
  <si>
    <t>Served Customers</t>
  </si>
  <si>
    <t>Overall</t>
  </si>
  <si>
    <t>Means</t>
  </si>
  <si>
    <t>Desk Line</t>
  </si>
  <si>
    <t>Ambulatory Line</t>
  </si>
  <si>
    <t>X-ray Line</t>
  </si>
  <si>
    <t>Hospital</t>
  </si>
  <si>
    <t>Lab Line</t>
  </si>
  <si>
    <t>Release</t>
  </si>
  <si>
    <t>Desk</t>
  </si>
  <si>
    <t>Ambulatory</t>
  </si>
  <si>
    <t>X-ray</t>
  </si>
  <si>
    <t>Lab</t>
  </si>
  <si>
    <t>Desk DP</t>
  </si>
  <si>
    <t>X-ray DP</t>
  </si>
  <si>
    <t>Lab 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</si>
</sst>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4">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1">
    <xf numFmtId="0" fontId="0" fillId="0" borderId="0"/>
  </cellStyleXfs>
  <cellXfs count="187">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right"/>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checked="Checked"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504825</xdr:colOff>
          <xdr:row>0</xdr:row>
          <xdr:rowOff>95250</xdr:rowOff>
        </xdr:from>
        <xdr:to>
          <xdr:col>5</xdr:col>
          <xdr:colOff>371475</xdr:colOff>
          <xdr:row>1</xdr:row>
          <xdr:rowOff>104775</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0</xdr:row>
          <xdr:rowOff>104775</xdr:rowOff>
        </xdr:from>
        <xdr:to>
          <xdr:col>9</xdr:col>
          <xdr:colOff>266700</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4"/>
  <sheetViews>
    <sheetView zoomScaleNormal="100" workbookViewId="0">
      <selection activeCell="I35" sqref="I35"/>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0" t="s">
        <v>123</v>
      </c>
      <c r="C4" s="135"/>
      <c r="D4" s="135"/>
      <c r="E4" s="135"/>
      <c r="F4" s="136"/>
      <c r="G4" s="167" t="s">
        <v>124</v>
      </c>
      <c r="H4" s="168"/>
      <c r="I4" s="168"/>
      <c r="J4" s="168"/>
      <c r="K4" s="169"/>
      <c r="L4" s="3"/>
      <c r="M4" s="3"/>
    </row>
    <row r="5" spans="1:13" x14ac:dyDescent="0.2">
      <c r="A5" s="3"/>
      <c r="B5" s="137"/>
      <c r="C5" s="138"/>
      <c r="D5" s="138"/>
      <c r="E5" s="138"/>
      <c r="F5" s="139"/>
      <c r="G5" s="170"/>
      <c r="H5" s="171"/>
      <c r="I5" s="171"/>
      <c r="J5" s="171"/>
      <c r="K5" s="172"/>
      <c r="L5" s="3"/>
      <c r="M5" s="3"/>
    </row>
    <row r="6" spans="1:13" x14ac:dyDescent="0.2">
      <c r="A6" s="3"/>
      <c r="B6" s="137"/>
      <c r="C6" s="138"/>
      <c r="D6" s="138"/>
      <c r="E6" s="138"/>
      <c r="F6" s="139"/>
      <c r="G6" s="170"/>
      <c r="H6" s="171"/>
      <c r="I6" s="171"/>
      <c r="J6" s="171"/>
      <c r="K6" s="172"/>
      <c r="L6" s="3"/>
      <c r="M6" s="3"/>
    </row>
    <row r="7" spans="1:13" x14ac:dyDescent="0.2">
      <c r="A7" s="3"/>
      <c r="B7" s="137"/>
      <c r="C7" s="138"/>
      <c r="D7" s="138"/>
      <c r="E7" s="138"/>
      <c r="F7" s="139"/>
      <c r="G7" s="170"/>
      <c r="H7" s="171"/>
      <c r="I7" s="171"/>
      <c r="J7" s="171"/>
      <c r="K7" s="172"/>
      <c r="L7" s="3"/>
      <c r="M7" s="3"/>
    </row>
    <row r="8" spans="1:13" x14ac:dyDescent="0.2">
      <c r="A8" s="3"/>
      <c r="B8" s="137"/>
      <c r="C8" s="138"/>
      <c r="D8" s="138"/>
      <c r="E8" s="138"/>
      <c r="F8" s="139"/>
      <c r="G8" s="170"/>
      <c r="H8" s="171"/>
      <c r="I8" s="171"/>
      <c r="J8" s="171"/>
      <c r="K8" s="172"/>
      <c r="L8" s="3"/>
      <c r="M8" s="3"/>
    </row>
    <row r="9" spans="1:13" x14ac:dyDescent="0.2">
      <c r="A9" s="3"/>
      <c r="B9" s="137"/>
      <c r="C9" s="138"/>
      <c r="D9" s="138"/>
      <c r="E9" s="138"/>
      <c r="F9" s="139"/>
      <c r="G9" s="170"/>
      <c r="H9" s="171"/>
      <c r="I9" s="171"/>
      <c r="J9" s="171"/>
      <c r="K9" s="172"/>
      <c r="L9" s="3"/>
      <c r="M9" s="3"/>
    </row>
    <row r="10" spans="1:13" ht="13.5" thickBot="1" x14ac:dyDescent="0.25">
      <c r="A10" s="3"/>
      <c r="B10" s="137"/>
      <c r="C10" s="138"/>
      <c r="D10" s="138"/>
      <c r="E10" s="138"/>
      <c r="F10" s="139"/>
      <c r="G10" s="170"/>
      <c r="H10" s="171"/>
      <c r="I10" s="171"/>
      <c r="J10" s="171"/>
      <c r="K10" s="172"/>
      <c r="L10" s="3"/>
      <c r="M10" s="3"/>
    </row>
    <row r="11" spans="1:13" ht="13.5" thickBot="1" x14ac:dyDescent="0.25">
      <c r="A11" s="3"/>
      <c r="B11" s="137"/>
      <c r="C11" s="138"/>
      <c r="D11" s="138"/>
      <c r="E11" s="138"/>
      <c r="F11" s="139"/>
      <c r="G11" s="170"/>
      <c r="H11" s="171"/>
      <c r="I11" s="144">
        <v>50</v>
      </c>
      <c r="J11" s="171"/>
      <c r="K11" s="172"/>
      <c r="L11" s="3"/>
      <c r="M11" s="3"/>
    </row>
    <row r="12" spans="1:13" x14ac:dyDescent="0.2">
      <c r="A12" s="3"/>
      <c r="B12" s="137"/>
      <c r="C12" s="138"/>
      <c r="D12" s="138"/>
      <c r="E12" s="138"/>
      <c r="F12" s="139"/>
      <c r="G12" s="170"/>
      <c r="H12" s="171"/>
      <c r="I12" s="171"/>
      <c r="J12" s="171"/>
      <c r="K12" s="172"/>
      <c r="L12" s="3"/>
      <c r="M12" s="3"/>
    </row>
    <row r="13" spans="1:13" x14ac:dyDescent="0.2">
      <c r="A13" s="3"/>
      <c r="B13" s="137"/>
      <c r="C13" s="138"/>
      <c r="D13" s="138"/>
      <c r="E13" s="138"/>
      <c r="F13" s="139"/>
      <c r="G13" s="170"/>
      <c r="H13" s="171"/>
      <c r="I13" s="171"/>
      <c r="J13" s="171"/>
      <c r="K13" s="172"/>
      <c r="L13" s="3"/>
      <c r="M13" s="3"/>
    </row>
    <row r="14" spans="1:13" ht="13.5" thickBot="1" x14ac:dyDescent="0.25">
      <c r="A14" s="3"/>
      <c r="B14" s="137"/>
      <c r="C14" s="138"/>
      <c r="D14" s="138"/>
      <c r="E14" s="138"/>
      <c r="F14" s="139"/>
      <c r="G14" s="173"/>
      <c r="H14" s="174"/>
      <c r="I14" s="174"/>
      <c r="J14" s="174"/>
      <c r="K14" s="175"/>
      <c r="L14" s="3"/>
      <c r="M14" s="3"/>
    </row>
    <row r="15" spans="1:13" x14ac:dyDescent="0.2">
      <c r="A15" s="3"/>
      <c r="B15" s="137"/>
      <c r="C15" s="138"/>
      <c r="D15" s="138"/>
      <c r="E15" s="138"/>
      <c r="F15" s="139"/>
      <c r="G15" s="170"/>
      <c r="H15" s="171"/>
      <c r="I15" s="171"/>
      <c r="J15" s="171"/>
      <c r="K15" s="172"/>
      <c r="L15" s="3"/>
      <c r="M15" s="3"/>
    </row>
    <row r="16" spans="1:13" x14ac:dyDescent="0.2">
      <c r="A16" s="3"/>
      <c r="B16" s="137"/>
      <c r="C16" s="138"/>
      <c r="D16" s="138"/>
      <c r="E16" s="138"/>
      <c r="F16" s="139"/>
      <c r="G16" s="170"/>
      <c r="H16" s="171"/>
      <c r="I16" s="171"/>
      <c r="J16" s="171"/>
      <c r="K16" s="172"/>
      <c r="L16" s="3"/>
      <c r="M16" s="3"/>
    </row>
    <row r="17" spans="1:13" x14ac:dyDescent="0.2">
      <c r="A17" s="3"/>
      <c r="B17" s="137"/>
      <c r="C17" s="138"/>
      <c r="D17" s="138"/>
      <c r="E17" s="138"/>
      <c r="F17" s="139"/>
      <c r="G17" s="170"/>
      <c r="H17" s="171"/>
      <c r="I17" s="171"/>
      <c r="J17" s="171"/>
      <c r="K17" s="172"/>
      <c r="L17" s="3"/>
      <c r="M17" s="3"/>
    </row>
    <row r="18" spans="1:13" x14ac:dyDescent="0.2">
      <c r="A18" s="3"/>
      <c r="B18" s="137"/>
      <c r="C18" s="138"/>
      <c r="D18" s="138"/>
      <c r="E18" s="138"/>
      <c r="F18" s="139"/>
      <c r="G18" s="170"/>
      <c r="H18" s="171"/>
      <c r="I18" s="171"/>
      <c r="J18" s="171"/>
      <c r="K18" s="172"/>
      <c r="L18" s="3"/>
      <c r="M18" s="3"/>
    </row>
    <row r="19" spans="1:13" ht="13.5" thickBot="1" x14ac:dyDescent="0.25">
      <c r="A19" s="3"/>
      <c r="B19" s="137"/>
      <c r="C19" s="143"/>
      <c r="D19" s="138"/>
      <c r="E19" s="138"/>
      <c r="F19" s="139"/>
      <c r="G19" s="170"/>
      <c r="H19" s="171"/>
      <c r="I19" s="171"/>
      <c r="J19" s="171"/>
      <c r="K19" s="172"/>
      <c r="L19" s="3"/>
      <c r="M19" s="3"/>
    </row>
    <row r="20" spans="1:13" ht="13.5" thickBot="1" x14ac:dyDescent="0.25">
      <c r="A20" s="3"/>
      <c r="B20" s="137"/>
      <c r="C20" s="143"/>
      <c r="D20" s="144"/>
      <c r="E20" s="138"/>
      <c r="F20" s="139"/>
      <c r="G20" s="170"/>
      <c r="H20" s="171"/>
      <c r="I20" s="171"/>
      <c r="J20" s="171"/>
      <c r="K20" s="172"/>
      <c r="L20" s="3"/>
      <c r="M20" s="3"/>
    </row>
    <row r="21" spans="1:13" x14ac:dyDescent="0.2">
      <c r="A21" s="3"/>
      <c r="B21" s="137"/>
      <c r="C21" s="138"/>
      <c r="D21" s="138"/>
      <c r="E21" s="138"/>
      <c r="F21" s="139"/>
      <c r="G21" s="170"/>
      <c r="H21" s="171"/>
      <c r="I21" s="171"/>
      <c r="J21" s="171"/>
      <c r="K21" s="172"/>
      <c r="L21" s="3"/>
      <c r="M21" s="3"/>
    </row>
    <row r="22" spans="1:13" ht="13.5" thickBot="1" x14ac:dyDescent="0.25">
      <c r="A22" s="3"/>
      <c r="B22" s="137"/>
      <c r="C22" s="138"/>
      <c r="D22" s="138"/>
      <c r="E22" s="138"/>
      <c r="F22" s="139"/>
      <c r="G22" s="170"/>
      <c r="H22" s="171"/>
      <c r="I22" s="171"/>
      <c r="J22" s="171"/>
      <c r="K22" s="172"/>
      <c r="L22" s="3"/>
      <c r="M22" s="3"/>
    </row>
    <row r="23" spans="1:13" x14ac:dyDescent="0.2">
      <c r="A23" s="3"/>
      <c r="B23" s="137"/>
      <c r="C23" s="138"/>
      <c r="D23" s="138"/>
      <c r="E23" s="138"/>
      <c r="F23" s="139"/>
      <c r="G23" s="179"/>
      <c r="H23" s="180"/>
      <c r="I23" s="180"/>
      <c r="J23" s="180"/>
      <c r="K23" s="181"/>
      <c r="L23" s="3"/>
      <c r="M23" s="3"/>
    </row>
    <row r="24" spans="1:13" x14ac:dyDescent="0.2">
      <c r="A24" s="3"/>
      <c r="B24" s="137"/>
      <c r="C24" s="138"/>
      <c r="D24" s="138"/>
      <c r="E24" s="138"/>
      <c r="F24" s="139"/>
      <c r="G24" s="170"/>
      <c r="H24" s="171"/>
      <c r="I24" s="171"/>
      <c r="J24" s="171"/>
      <c r="K24" s="172"/>
      <c r="L24" s="3"/>
      <c r="M24" s="3"/>
    </row>
    <row r="25" spans="1:13" x14ac:dyDescent="0.2">
      <c r="A25" s="3"/>
      <c r="B25" s="137"/>
      <c r="C25" s="138"/>
      <c r="D25" s="138"/>
      <c r="E25" s="138"/>
      <c r="F25" s="139"/>
      <c r="G25" s="170"/>
      <c r="H25" s="171"/>
      <c r="I25" s="171"/>
      <c r="J25" s="171"/>
      <c r="K25" s="172"/>
      <c r="L25" s="3"/>
      <c r="M25" s="3"/>
    </row>
    <row r="26" spans="1:13" ht="13.5" thickBot="1" x14ac:dyDescent="0.25">
      <c r="A26" s="3"/>
      <c r="B26" s="140"/>
      <c r="C26" s="141"/>
      <c r="D26" s="141"/>
      <c r="E26" s="141"/>
      <c r="F26" s="142"/>
      <c r="G26" s="170"/>
      <c r="H26" s="171"/>
      <c r="I26" s="171"/>
      <c r="J26" s="171"/>
      <c r="K26" s="172"/>
      <c r="L26" s="3"/>
      <c r="M26" s="3"/>
    </row>
    <row r="27" spans="1:13" x14ac:dyDescent="0.2">
      <c r="A27" s="3"/>
      <c r="B27" s="3"/>
      <c r="C27" s="3"/>
      <c r="D27" s="3"/>
      <c r="E27" s="3"/>
      <c r="F27" s="3"/>
      <c r="G27" s="170"/>
      <c r="H27" s="171"/>
      <c r="I27" s="171"/>
      <c r="J27" s="171"/>
      <c r="K27" s="172"/>
      <c r="L27" s="3"/>
      <c r="M27" s="3"/>
    </row>
    <row r="28" spans="1:13" x14ac:dyDescent="0.2">
      <c r="A28" s="3"/>
      <c r="B28" s="3"/>
      <c r="C28" s="3"/>
      <c r="D28" s="3"/>
      <c r="E28" s="3"/>
      <c r="F28" s="3"/>
      <c r="G28" s="170"/>
      <c r="H28" s="171"/>
      <c r="I28" s="171"/>
      <c r="J28" s="171"/>
      <c r="K28" s="172"/>
      <c r="L28" s="3"/>
      <c r="M28" s="3"/>
    </row>
    <row r="29" spans="1:13" x14ac:dyDescent="0.2">
      <c r="A29" s="166"/>
      <c r="B29" s="166"/>
      <c r="C29" s="166"/>
      <c r="D29" s="166"/>
      <c r="E29" s="166"/>
      <c r="F29" s="166"/>
      <c r="G29" s="170"/>
      <c r="H29" s="171"/>
      <c r="I29" s="171"/>
      <c r="J29" s="171"/>
      <c r="K29" s="172"/>
      <c r="L29" s="166"/>
      <c r="M29" s="166"/>
    </row>
    <row r="30" spans="1:13" ht="13.5" thickBot="1" x14ac:dyDescent="0.25">
      <c r="A30" s="166"/>
      <c r="B30" s="166"/>
      <c r="C30" s="166"/>
      <c r="D30" s="166"/>
      <c r="E30" s="166"/>
      <c r="F30" s="166"/>
      <c r="G30" s="176"/>
      <c r="H30" s="177"/>
      <c r="I30" s="177"/>
      <c r="J30" s="177"/>
      <c r="K30" s="178"/>
      <c r="L30" s="166"/>
      <c r="M30" s="166"/>
    </row>
    <row r="31" spans="1:13" x14ac:dyDescent="0.2">
      <c r="A31" s="166"/>
      <c r="B31" s="166"/>
      <c r="C31" s="166"/>
      <c r="D31" s="166"/>
      <c r="E31" s="166"/>
      <c r="F31" s="166"/>
      <c r="G31" s="166"/>
      <c r="H31" s="166"/>
      <c r="I31" s="166"/>
      <c r="J31" s="166"/>
      <c r="K31" s="166"/>
      <c r="L31" s="166"/>
      <c r="M31" s="166"/>
    </row>
    <row r="32" spans="1:13" x14ac:dyDescent="0.2">
      <c r="A32" s="166"/>
      <c r="B32" s="166"/>
      <c r="C32" s="166"/>
      <c r="D32" s="166"/>
      <c r="E32" s="166"/>
      <c r="F32" s="166"/>
      <c r="G32" s="166"/>
      <c r="H32" s="166"/>
      <c r="I32" s="166"/>
      <c r="J32" s="166"/>
      <c r="K32" s="166"/>
      <c r="L32" s="166"/>
      <c r="M32" s="166"/>
    </row>
    <row r="43" spans="1:1" x14ac:dyDescent="0.2">
      <c r="A43">
        <v>1</v>
      </c>
    </row>
    <row r="44" spans="1:1" x14ac:dyDescent="0.2">
      <c r="A44">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E1" sqref="E1"/>
    </sheetView>
  </sheetViews>
  <sheetFormatPr defaultRowHeight="12.75" x14ac:dyDescent="0.2"/>
  <cols>
    <col min="1" max="1" width="8.28515625" style="89" customWidth="1"/>
    <col min="2" max="2" width="27" style="89" bestFit="1" customWidth="1"/>
    <col min="3" max="3" width="14.42578125" style="89" bestFit="1" customWidth="1"/>
    <col min="4" max="4" width="10.42578125" style="89" bestFit="1" customWidth="1"/>
    <col min="5" max="5" width="15.85546875" style="89" bestFit="1" customWidth="1"/>
    <col min="6" max="6" width="14.57031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5" t="s">
        <v>134</v>
      </c>
      <c r="C6" s="18"/>
      <c r="D6"/>
      <c r="E6"/>
      <c r="F6"/>
      <c r="G6"/>
      <c r="H6"/>
      <c r="I6"/>
      <c r="J6"/>
    </row>
    <row r="7" spans="1:10" ht="13.5" thickBot="1" x14ac:dyDescent="0.25">
      <c r="A7"/>
      <c r="B7" s="155" t="s">
        <v>135</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82" t="s">
        <v>157</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56" t="s">
        <v>136</v>
      </c>
      <c r="C13" s="124" t="s">
        <v>156</v>
      </c>
      <c r="D13"/>
      <c r="E13"/>
      <c r="F13"/>
      <c r="G13"/>
      <c r="H13"/>
      <c r="I13"/>
      <c r="J13"/>
    </row>
    <row r="14" spans="1:10" x14ac:dyDescent="0.2">
      <c r="A14"/>
      <c r="B14" s="157" t="s">
        <v>137</v>
      </c>
      <c r="C14" s="116"/>
      <c r="D14"/>
      <c r="E14"/>
      <c r="F14"/>
      <c r="G14"/>
      <c r="H14"/>
      <c r="I14"/>
      <c r="J14"/>
    </row>
    <row r="15" spans="1:10" ht="13.5" thickBot="1" x14ac:dyDescent="0.25">
      <c r="A15"/>
      <c r="B15" s="158" t="s">
        <v>138</v>
      </c>
      <c r="C15" s="116"/>
      <c r="D15"/>
      <c r="E15"/>
      <c r="F15"/>
      <c r="G15"/>
      <c r="H15"/>
      <c r="I15"/>
      <c r="J15"/>
    </row>
    <row r="16" spans="1:10" x14ac:dyDescent="0.2">
      <c r="A16"/>
      <c r="B16" s="39" t="s">
        <v>10</v>
      </c>
      <c r="C16" s="40"/>
      <c r="D16"/>
      <c r="E16"/>
      <c r="F16"/>
      <c r="G16"/>
      <c r="H16"/>
      <c r="I16"/>
      <c r="J16"/>
    </row>
    <row r="17" spans="1:10" ht="13.5" thickBot="1" x14ac:dyDescent="0.25">
      <c r="A17"/>
      <c r="B17" s="146" t="s">
        <v>139</v>
      </c>
      <c r="C17" s="42"/>
      <c r="D17"/>
      <c r="E17"/>
      <c r="F17"/>
      <c r="G17"/>
      <c r="H17"/>
      <c r="I17"/>
      <c r="J17"/>
    </row>
    <row r="18" spans="1:10" x14ac:dyDescent="0.2">
      <c r="A18"/>
      <c r="B18" s="108" t="s">
        <v>172</v>
      </c>
      <c r="C18" s="74"/>
      <c r="D18"/>
      <c r="E18"/>
      <c r="F18"/>
      <c r="G18"/>
      <c r="H18"/>
      <c r="I18"/>
      <c r="J18"/>
    </row>
    <row r="19" spans="1:10" ht="13.5" thickBot="1" x14ac:dyDescent="0.25">
      <c r="A19"/>
      <c r="B19" s="184"/>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82" t="s">
        <v>158</v>
      </c>
      <c r="C22"/>
      <c r="D22"/>
      <c r="E22"/>
      <c r="F22"/>
      <c r="G22"/>
      <c r="H22"/>
      <c r="I22"/>
      <c r="J22"/>
    </row>
    <row r="23" spans="1:10" x14ac:dyDescent="0.2">
      <c r="A23"/>
      <c r="B23"/>
      <c r="C23"/>
      <c r="D23"/>
      <c r="E23"/>
      <c r="F23"/>
      <c r="G23"/>
      <c r="H23"/>
      <c r="I23"/>
      <c r="J23"/>
    </row>
    <row r="24" spans="1:10" ht="13.5" thickBot="1" x14ac:dyDescent="0.25">
      <c r="A24"/>
      <c r="B24" s="42"/>
      <c r="C24" s="48">
        <v>1</v>
      </c>
      <c r="D24" s="48"/>
      <c r="E24" s="33"/>
      <c r="F24"/>
      <c r="G24"/>
      <c r="H24"/>
      <c r="I24"/>
      <c r="J24"/>
    </row>
    <row r="25" spans="1:10" ht="18.75" x14ac:dyDescent="0.3">
      <c r="A25"/>
      <c r="B25" s="49"/>
      <c r="C25" s="118" t="s">
        <v>136</v>
      </c>
      <c r="D25" s="104" t="s">
        <v>178</v>
      </c>
      <c r="E25" s="42"/>
      <c r="F25"/>
      <c r="G25"/>
      <c r="H25"/>
      <c r="I25"/>
      <c r="J25"/>
    </row>
    <row r="26" spans="1:10" ht="13.5" thickBot="1" x14ac:dyDescent="0.25">
      <c r="A26"/>
      <c r="B26" s="42"/>
      <c r="C26" s="159" t="s">
        <v>142</v>
      </c>
      <c r="D26" s="116"/>
      <c r="E26" s="42"/>
      <c r="F26"/>
      <c r="G26"/>
      <c r="H26"/>
      <c r="I26"/>
      <c r="J26"/>
    </row>
    <row r="27" spans="1:10" x14ac:dyDescent="0.2">
      <c r="A27"/>
      <c r="B27" s="39" t="s">
        <v>10</v>
      </c>
      <c r="C27" s="6" t="s">
        <v>17</v>
      </c>
      <c r="D27" s="152" t="s">
        <v>18</v>
      </c>
      <c r="E27" s="39" t="s">
        <v>18</v>
      </c>
      <c r="F27"/>
      <c r="G27"/>
      <c r="H27"/>
      <c r="I27"/>
      <c r="J27"/>
    </row>
    <row r="28" spans="1:10" ht="13.5" thickBot="1" x14ac:dyDescent="0.25">
      <c r="A28"/>
      <c r="B28" s="146" t="s">
        <v>139</v>
      </c>
      <c r="C28" s="160" t="s">
        <v>143</v>
      </c>
      <c r="D28" s="161" t="s">
        <v>144</v>
      </c>
      <c r="E28" s="146" t="s">
        <v>145</v>
      </c>
      <c r="F28"/>
      <c r="G28"/>
      <c r="H28"/>
      <c r="I28"/>
      <c r="J28"/>
    </row>
    <row r="29" spans="1:10" x14ac:dyDescent="0.2">
      <c r="A29"/>
      <c r="B29" s="107" t="s">
        <v>182</v>
      </c>
      <c r="C29" s="104"/>
      <c r="D29" s="54"/>
      <c r="E29" s="53"/>
      <c r="F29"/>
      <c r="G29"/>
      <c r="H29"/>
      <c r="I29"/>
      <c r="J29"/>
    </row>
    <row r="30" spans="1:10" ht="13.5" thickBot="1" x14ac:dyDescent="0.25">
      <c r="A30"/>
      <c r="B30" s="184"/>
      <c r="C30" s="60"/>
      <c r="D30" s="185"/>
      <c r="E30" s="60"/>
      <c r="F30"/>
      <c r="G30"/>
      <c r="H30"/>
      <c r="I30"/>
      <c r="J30"/>
    </row>
    <row r="31" spans="1:10" x14ac:dyDescent="0.2">
      <c r="A31"/>
      <c r="B31"/>
      <c r="C31"/>
      <c r="D31"/>
      <c r="E31"/>
      <c r="F31"/>
      <c r="G31"/>
      <c r="H31"/>
      <c r="I31"/>
      <c r="J31"/>
    </row>
    <row r="32" spans="1:10" ht="13.5" thickBot="1" x14ac:dyDescent="0.25">
      <c r="A32"/>
      <c r="B32" s="48"/>
      <c r="C32" s="48">
        <v>2</v>
      </c>
      <c r="D32" s="48"/>
      <c r="E32" s="33"/>
      <c r="F32"/>
      <c r="G32"/>
      <c r="H32"/>
      <c r="I32"/>
      <c r="J32"/>
    </row>
    <row r="33" spans="1:10" ht="18.75" x14ac:dyDescent="0.3">
      <c r="A33"/>
      <c r="B33" s="49"/>
      <c r="C33" s="118" t="s">
        <v>136</v>
      </c>
      <c r="D33" s="104" t="s">
        <v>179</v>
      </c>
      <c r="E33" s="42"/>
      <c r="F33"/>
      <c r="G33"/>
      <c r="H33"/>
      <c r="I33"/>
      <c r="J33"/>
    </row>
    <row r="34" spans="1:10" ht="13.5" thickBot="1" x14ac:dyDescent="0.25">
      <c r="A34"/>
      <c r="B34" s="42"/>
      <c r="C34" s="159" t="s">
        <v>142</v>
      </c>
      <c r="D34" s="116"/>
      <c r="E34" s="42"/>
      <c r="F34"/>
      <c r="G34"/>
      <c r="H34"/>
      <c r="I34"/>
      <c r="J34"/>
    </row>
    <row r="35" spans="1:10" x14ac:dyDescent="0.2">
      <c r="A35"/>
      <c r="B35" s="39" t="s">
        <v>10</v>
      </c>
      <c r="C35" s="6" t="s">
        <v>17</v>
      </c>
      <c r="D35" s="152" t="s">
        <v>18</v>
      </c>
      <c r="E35" s="39" t="s">
        <v>18</v>
      </c>
      <c r="F35"/>
      <c r="G35"/>
      <c r="H35"/>
      <c r="I35"/>
      <c r="J35"/>
    </row>
    <row r="36" spans="1:10" ht="13.5" thickBot="1" x14ac:dyDescent="0.25">
      <c r="A36"/>
      <c r="B36" s="146" t="s">
        <v>139</v>
      </c>
      <c r="C36" s="160" t="s">
        <v>143</v>
      </c>
      <c r="D36" s="161" t="s">
        <v>144</v>
      </c>
      <c r="E36" s="146" t="s">
        <v>145</v>
      </c>
      <c r="F36"/>
      <c r="G36"/>
      <c r="H36"/>
      <c r="I36"/>
      <c r="J36"/>
    </row>
    <row r="37" spans="1:10" x14ac:dyDescent="0.2">
      <c r="A37"/>
      <c r="B37" s="107" t="s">
        <v>177</v>
      </c>
      <c r="C37" s="104"/>
      <c r="D37" s="54"/>
      <c r="E37" s="53"/>
      <c r="F37"/>
      <c r="G37"/>
      <c r="H37"/>
      <c r="I37"/>
      <c r="J37"/>
    </row>
    <row r="38" spans="1:10" ht="13.5" thickBot="1" x14ac:dyDescent="0.25">
      <c r="A38"/>
      <c r="B38" s="184"/>
      <c r="C38" s="60"/>
      <c r="D38" s="185"/>
      <c r="E38" s="60"/>
      <c r="F38"/>
      <c r="G38"/>
      <c r="H38"/>
      <c r="I38"/>
      <c r="J38"/>
    </row>
    <row r="39" spans="1:10" x14ac:dyDescent="0.2">
      <c r="A39"/>
      <c r="B39"/>
      <c r="C39"/>
      <c r="D39"/>
      <c r="E39"/>
      <c r="F39"/>
      <c r="G39"/>
      <c r="H39"/>
      <c r="I39"/>
      <c r="J39"/>
    </row>
    <row r="40" spans="1:10" ht="13.5" thickBot="1" x14ac:dyDescent="0.25">
      <c r="A40"/>
      <c r="B40" s="48"/>
      <c r="C40" s="48">
        <v>3</v>
      </c>
      <c r="D40" s="48"/>
      <c r="E40" s="33"/>
      <c r="F40"/>
      <c r="G40"/>
      <c r="H40"/>
      <c r="I40"/>
      <c r="J40"/>
    </row>
    <row r="41" spans="1:10" ht="18.75" x14ac:dyDescent="0.3">
      <c r="A41"/>
      <c r="B41" s="49"/>
      <c r="C41" s="118" t="s">
        <v>136</v>
      </c>
      <c r="D41" s="104" t="s">
        <v>180</v>
      </c>
      <c r="E41" s="42"/>
      <c r="F41"/>
      <c r="G41"/>
      <c r="H41"/>
      <c r="I41"/>
      <c r="J41"/>
    </row>
    <row r="42" spans="1:10" ht="13.5" thickBot="1" x14ac:dyDescent="0.25">
      <c r="A42"/>
      <c r="B42" s="42"/>
      <c r="C42" s="159" t="s">
        <v>142</v>
      </c>
      <c r="D42" s="116"/>
      <c r="E42" s="42"/>
      <c r="F42"/>
      <c r="G42"/>
      <c r="H42"/>
      <c r="I42"/>
      <c r="J42"/>
    </row>
    <row r="43" spans="1:10" x14ac:dyDescent="0.2">
      <c r="A43"/>
      <c r="B43" s="39" t="s">
        <v>10</v>
      </c>
      <c r="C43" s="6" t="s">
        <v>17</v>
      </c>
      <c r="D43" s="152" t="s">
        <v>18</v>
      </c>
      <c r="E43" s="39" t="s">
        <v>18</v>
      </c>
      <c r="F43"/>
      <c r="G43"/>
      <c r="H43"/>
      <c r="I43"/>
      <c r="J43"/>
    </row>
    <row r="44" spans="1:10" ht="13.5" thickBot="1" x14ac:dyDescent="0.25">
      <c r="A44"/>
      <c r="B44" s="146" t="s">
        <v>139</v>
      </c>
      <c r="C44" s="160" t="s">
        <v>143</v>
      </c>
      <c r="D44" s="161" t="s">
        <v>144</v>
      </c>
      <c r="E44" s="146" t="s">
        <v>145</v>
      </c>
      <c r="F44"/>
      <c r="G44"/>
      <c r="H44"/>
      <c r="I44"/>
      <c r="J44"/>
    </row>
    <row r="45" spans="1:10" x14ac:dyDescent="0.2">
      <c r="A45"/>
      <c r="B45" s="107" t="s">
        <v>183</v>
      </c>
      <c r="C45" s="104"/>
      <c r="D45" s="54"/>
      <c r="E45" s="53"/>
      <c r="F45"/>
      <c r="G45"/>
      <c r="H45"/>
      <c r="I45"/>
      <c r="J45"/>
    </row>
    <row r="46" spans="1:10" ht="13.5" thickBot="1" x14ac:dyDescent="0.25">
      <c r="A46"/>
      <c r="B46" s="184"/>
      <c r="C46" s="60"/>
      <c r="D46" s="185"/>
      <c r="E46" s="60"/>
      <c r="F46"/>
      <c r="G46"/>
      <c r="H46"/>
      <c r="I46"/>
      <c r="J46"/>
    </row>
    <row r="47" spans="1:10" x14ac:dyDescent="0.2">
      <c r="A47"/>
      <c r="B47"/>
      <c r="C47"/>
      <c r="D47"/>
      <c r="E47"/>
      <c r="F47"/>
      <c r="G47"/>
      <c r="H47"/>
      <c r="I47"/>
      <c r="J47"/>
    </row>
    <row r="48" spans="1:10" ht="13.5" thickBot="1" x14ac:dyDescent="0.25">
      <c r="A48"/>
      <c r="B48" s="48"/>
      <c r="C48" s="48">
        <v>4</v>
      </c>
      <c r="D48" s="48"/>
      <c r="E48" s="33"/>
      <c r="F48"/>
      <c r="G48"/>
      <c r="H48"/>
      <c r="I48"/>
      <c r="J48"/>
    </row>
    <row r="49" spans="1:10" ht="18.75" x14ac:dyDescent="0.3">
      <c r="A49"/>
      <c r="B49" s="49"/>
      <c r="C49" s="118" t="s">
        <v>136</v>
      </c>
      <c r="D49" s="104" t="s">
        <v>181</v>
      </c>
      <c r="E49" s="42"/>
      <c r="F49"/>
      <c r="G49"/>
      <c r="H49"/>
      <c r="I49"/>
      <c r="J49"/>
    </row>
    <row r="50" spans="1:10" ht="13.5" thickBot="1" x14ac:dyDescent="0.25">
      <c r="A50"/>
      <c r="B50" s="42"/>
      <c r="C50" s="159" t="s">
        <v>142</v>
      </c>
      <c r="D50" s="116"/>
      <c r="E50" s="42"/>
      <c r="F50"/>
      <c r="G50"/>
      <c r="H50"/>
      <c r="I50"/>
      <c r="J50"/>
    </row>
    <row r="51" spans="1:10" x14ac:dyDescent="0.2">
      <c r="A51"/>
      <c r="B51" s="39" t="s">
        <v>10</v>
      </c>
      <c r="C51" s="6" t="s">
        <v>17</v>
      </c>
      <c r="D51" s="152" t="s">
        <v>18</v>
      </c>
      <c r="E51" s="39" t="s">
        <v>18</v>
      </c>
      <c r="F51"/>
      <c r="G51"/>
      <c r="H51"/>
      <c r="I51"/>
      <c r="J51"/>
    </row>
    <row r="52" spans="1:10" ht="13.5" thickBot="1" x14ac:dyDescent="0.25">
      <c r="A52"/>
      <c r="B52" s="146" t="s">
        <v>139</v>
      </c>
      <c r="C52" s="160" t="s">
        <v>143</v>
      </c>
      <c r="D52" s="161" t="s">
        <v>144</v>
      </c>
      <c r="E52" s="146" t="s">
        <v>145</v>
      </c>
      <c r="F52"/>
      <c r="G52"/>
      <c r="H52"/>
      <c r="I52"/>
      <c r="J52"/>
    </row>
    <row r="53" spans="1:10" x14ac:dyDescent="0.2">
      <c r="A53"/>
      <c r="B53" s="107" t="s">
        <v>184</v>
      </c>
      <c r="C53" s="104"/>
      <c r="D53" s="54"/>
      <c r="E53" s="53"/>
      <c r="F53"/>
      <c r="G53"/>
      <c r="H53"/>
      <c r="I53"/>
      <c r="J53"/>
    </row>
    <row r="54" spans="1:10" ht="13.5" thickBot="1" x14ac:dyDescent="0.25">
      <c r="A54"/>
      <c r="B54" s="184"/>
      <c r="C54" s="60"/>
      <c r="D54" s="185"/>
      <c r="E54" s="60"/>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s="182" t="s">
        <v>159</v>
      </c>
      <c r="C57"/>
      <c r="D57"/>
      <c r="E57"/>
      <c r="F57"/>
      <c r="G57"/>
      <c r="H57"/>
      <c r="I57"/>
      <c r="J57"/>
    </row>
    <row r="58" spans="1:10" x14ac:dyDescent="0.2">
      <c r="A58"/>
      <c r="B58"/>
      <c r="C58"/>
      <c r="D58"/>
      <c r="E58"/>
      <c r="F58"/>
      <c r="G58"/>
      <c r="H58"/>
      <c r="I58"/>
      <c r="J58"/>
    </row>
    <row r="59" spans="1:10" ht="13.5" thickBot="1" x14ac:dyDescent="0.25">
      <c r="A59"/>
      <c r="B59" s="33">
        <v>1</v>
      </c>
      <c r="C59" s="33"/>
      <c r="D59" s="33"/>
      <c r="E59" s="33">
        <v>2</v>
      </c>
      <c r="F59" s="33"/>
      <c r="G59"/>
      <c r="H59"/>
      <c r="I59"/>
      <c r="J59"/>
    </row>
    <row r="60" spans="1:10" ht="18.75" x14ac:dyDescent="0.3">
      <c r="A60"/>
      <c r="B60" s="118" t="s">
        <v>136</v>
      </c>
      <c r="C60" s="104" t="s">
        <v>172</v>
      </c>
      <c r="D60" s="3"/>
      <c r="E60" s="118" t="s">
        <v>136</v>
      </c>
      <c r="F60" s="104" t="s">
        <v>173</v>
      </c>
      <c r="G60"/>
      <c r="H60"/>
      <c r="I60"/>
      <c r="J60"/>
    </row>
    <row r="61" spans="1:10" x14ac:dyDescent="0.2">
      <c r="A61"/>
      <c r="B61" s="159" t="s">
        <v>146</v>
      </c>
      <c r="C61" s="116"/>
      <c r="D61" s="3"/>
      <c r="E61" s="159" t="s">
        <v>146</v>
      </c>
      <c r="F61" s="116"/>
      <c r="G61"/>
      <c r="H61"/>
      <c r="I61"/>
      <c r="J61"/>
    </row>
    <row r="62" spans="1:10" ht="13.5" thickBot="1" x14ac:dyDescent="0.25">
      <c r="A62"/>
      <c r="B62" s="146" t="s">
        <v>147</v>
      </c>
      <c r="C62" s="121"/>
      <c r="D62" s="3"/>
      <c r="E62" s="146" t="s">
        <v>147</v>
      </c>
      <c r="F62" s="60"/>
      <c r="G62"/>
      <c r="H62"/>
      <c r="I62"/>
      <c r="J62"/>
    </row>
    <row r="63" spans="1:10" x14ac:dyDescent="0.2">
      <c r="A63"/>
      <c r="B63" s="152" t="s">
        <v>10</v>
      </c>
      <c r="C63" s="39" t="s">
        <v>10</v>
      </c>
      <c r="D63" s="3"/>
      <c r="E63" s="152" t="s">
        <v>10</v>
      </c>
      <c r="F63" s="39" t="s">
        <v>10</v>
      </c>
      <c r="G63"/>
      <c r="H63"/>
      <c r="I63"/>
      <c r="J63"/>
    </row>
    <row r="64" spans="1:10" ht="13.5" thickBot="1" x14ac:dyDescent="0.25">
      <c r="A64"/>
      <c r="B64" s="161" t="s">
        <v>139</v>
      </c>
      <c r="C64" s="146" t="s">
        <v>148</v>
      </c>
      <c r="D64" s="3"/>
      <c r="E64" s="161" t="s">
        <v>139</v>
      </c>
      <c r="F64" s="146" t="s">
        <v>148</v>
      </c>
      <c r="G64"/>
      <c r="H64"/>
      <c r="I64"/>
      <c r="J64"/>
    </row>
    <row r="65" spans="1:10" x14ac:dyDescent="0.2">
      <c r="A65"/>
      <c r="B65" s="107" t="s">
        <v>178</v>
      </c>
      <c r="C65" s="104"/>
      <c r="D65" s="32"/>
      <c r="E65" s="107" t="s">
        <v>179</v>
      </c>
      <c r="F65" s="104"/>
      <c r="G65"/>
      <c r="H65"/>
      <c r="I65"/>
      <c r="J65"/>
    </row>
    <row r="66" spans="1:10" ht="13.5" thickBot="1" x14ac:dyDescent="0.25">
      <c r="A66"/>
      <c r="B66" s="108"/>
      <c r="C66" s="55"/>
      <c r="D66" s="32"/>
      <c r="E66" s="108"/>
      <c r="F66" s="55"/>
      <c r="G66"/>
      <c r="H66"/>
      <c r="I66"/>
      <c r="J66"/>
    </row>
    <row r="67" spans="1:10" ht="13.5" thickBot="1" x14ac:dyDescent="0.25">
      <c r="A67"/>
      <c r="B67" s="88" t="s">
        <v>149</v>
      </c>
      <c r="C67" s="165" t="s">
        <v>121</v>
      </c>
      <c r="D67" s="3"/>
      <c r="E67" s="88" t="s">
        <v>149</v>
      </c>
      <c r="F67" s="165" t="s">
        <v>121</v>
      </c>
      <c r="G67"/>
      <c r="H67"/>
      <c r="I67"/>
      <c r="J67"/>
    </row>
    <row r="68" spans="1:10" x14ac:dyDescent="0.2">
      <c r="A68"/>
      <c r="B68"/>
      <c r="C68"/>
      <c r="D68"/>
      <c r="E68"/>
      <c r="F68"/>
      <c r="G68"/>
      <c r="H68"/>
      <c r="I68"/>
      <c r="J68"/>
    </row>
    <row r="69" spans="1:10" ht="13.5" thickBot="1" x14ac:dyDescent="0.25">
      <c r="A69"/>
      <c r="B69" s="33">
        <v>3</v>
      </c>
      <c r="C69" s="33"/>
      <c r="D69" s="33"/>
      <c r="E69" s="33">
        <v>4</v>
      </c>
      <c r="F69" s="33"/>
      <c r="G69"/>
      <c r="H69"/>
      <c r="I69"/>
      <c r="J69"/>
    </row>
    <row r="70" spans="1:10" ht="18.75" x14ac:dyDescent="0.3">
      <c r="A70"/>
      <c r="B70" s="118" t="s">
        <v>136</v>
      </c>
      <c r="C70" s="104" t="s">
        <v>174</v>
      </c>
      <c r="D70" s="3"/>
      <c r="E70" s="118" t="s">
        <v>136</v>
      </c>
      <c r="F70" s="104" t="s">
        <v>175</v>
      </c>
      <c r="G70"/>
      <c r="H70"/>
      <c r="I70"/>
      <c r="J70"/>
    </row>
    <row r="71" spans="1:10" x14ac:dyDescent="0.2">
      <c r="A71"/>
      <c r="B71" s="159" t="s">
        <v>146</v>
      </c>
      <c r="C71" s="116"/>
      <c r="D71" s="3"/>
      <c r="E71" s="159" t="s">
        <v>146</v>
      </c>
      <c r="F71" s="116" t="s">
        <v>112</v>
      </c>
      <c r="G71"/>
      <c r="H71"/>
      <c r="I71"/>
      <c r="J71"/>
    </row>
    <row r="72" spans="1:10" ht="13.5" thickBot="1" x14ac:dyDescent="0.25">
      <c r="A72"/>
      <c r="B72" s="146" t="s">
        <v>147</v>
      </c>
      <c r="C72" s="60"/>
      <c r="D72" s="3"/>
      <c r="E72" s="146" t="s">
        <v>147</v>
      </c>
      <c r="F72" s="60"/>
      <c r="G72"/>
      <c r="H72"/>
      <c r="I72"/>
      <c r="J72"/>
    </row>
    <row r="73" spans="1:10" x14ac:dyDescent="0.2">
      <c r="A73"/>
      <c r="B73" s="152" t="s">
        <v>10</v>
      </c>
      <c r="C73" s="39" t="s">
        <v>10</v>
      </c>
      <c r="D73" s="3"/>
      <c r="E73" s="152" t="s">
        <v>10</v>
      </c>
      <c r="F73" s="39" t="s">
        <v>10</v>
      </c>
      <c r="G73"/>
      <c r="H73"/>
      <c r="I73"/>
      <c r="J73"/>
    </row>
    <row r="74" spans="1:10" ht="13.5" thickBot="1" x14ac:dyDescent="0.25">
      <c r="A74"/>
      <c r="B74" s="161" t="s">
        <v>139</v>
      </c>
      <c r="C74" s="146" t="s">
        <v>148</v>
      </c>
      <c r="D74" s="3"/>
      <c r="E74" s="161" t="s">
        <v>139</v>
      </c>
      <c r="F74" s="146" t="s">
        <v>148</v>
      </c>
      <c r="G74"/>
      <c r="H74"/>
      <c r="I74"/>
      <c r="J74"/>
    </row>
    <row r="75" spans="1:10" x14ac:dyDescent="0.2">
      <c r="A75"/>
      <c r="B75" s="107" t="s">
        <v>180</v>
      </c>
      <c r="C75" s="104"/>
      <c r="D75" s="32"/>
      <c r="E75" s="107"/>
      <c r="F75" s="104"/>
      <c r="G75"/>
      <c r="H75"/>
      <c r="I75"/>
      <c r="J75"/>
    </row>
    <row r="76" spans="1:10" ht="13.5" thickBot="1" x14ac:dyDescent="0.25">
      <c r="A76"/>
      <c r="B76" s="108"/>
      <c r="C76" s="55"/>
      <c r="D76" s="32"/>
      <c r="E76" s="108"/>
      <c r="F76" s="55"/>
      <c r="G76"/>
      <c r="H76"/>
      <c r="I76"/>
      <c r="J76"/>
    </row>
    <row r="77" spans="1:10" ht="13.5" thickBot="1" x14ac:dyDescent="0.25">
      <c r="A77"/>
      <c r="B77" s="88" t="s">
        <v>149</v>
      </c>
      <c r="C77" s="165" t="s">
        <v>121</v>
      </c>
      <c r="D77" s="3"/>
      <c r="E77" s="88" t="s">
        <v>149</v>
      </c>
      <c r="F77" s="165" t="s">
        <v>121</v>
      </c>
      <c r="G77"/>
      <c r="H77"/>
      <c r="I77"/>
      <c r="J77"/>
    </row>
    <row r="78" spans="1:10" x14ac:dyDescent="0.2">
      <c r="A78"/>
      <c r="B78"/>
      <c r="C78"/>
      <c r="D78"/>
      <c r="E78"/>
      <c r="F78"/>
      <c r="G78"/>
      <c r="H78"/>
      <c r="I78"/>
      <c r="J78"/>
    </row>
    <row r="79" spans="1:10" ht="13.5" thickBot="1" x14ac:dyDescent="0.25">
      <c r="A79"/>
      <c r="B79" s="33">
        <v>5</v>
      </c>
      <c r="C79" s="33"/>
      <c r="D79" s="33"/>
      <c r="E79" s="33">
        <v>6</v>
      </c>
      <c r="F79" s="33"/>
      <c r="G79"/>
      <c r="H79"/>
      <c r="I79"/>
      <c r="J79"/>
    </row>
    <row r="80" spans="1:10" ht="18.75" x14ac:dyDescent="0.3">
      <c r="A80"/>
      <c r="B80" s="118" t="s">
        <v>136</v>
      </c>
      <c r="C80" s="104" t="s">
        <v>176</v>
      </c>
      <c r="D80" s="3"/>
      <c r="E80" s="118" t="s">
        <v>136</v>
      </c>
      <c r="F80" s="104" t="s">
        <v>177</v>
      </c>
      <c r="G80"/>
      <c r="H80"/>
      <c r="I80"/>
      <c r="J80"/>
    </row>
    <row r="81" spans="1:10" x14ac:dyDescent="0.2">
      <c r="A81"/>
      <c r="B81" s="159" t="s">
        <v>146</v>
      </c>
      <c r="C81" s="116"/>
      <c r="D81" s="3"/>
      <c r="E81" s="159" t="s">
        <v>146</v>
      </c>
      <c r="F81" s="116" t="s">
        <v>112</v>
      </c>
      <c r="G81"/>
      <c r="H81"/>
      <c r="I81"/>
      <c r="J81"/>
    </row>
    <row r="82" spans="1:10" ht="13.5" thickBot="1" x14ac:dyDescent="0.25">
      <c r="A82"/>
      <c r="B82" s="146" t="s">
        <v>147</v>
      </c>
      <c r="C82" s="60"/>
      <c r="D82" s="3"/>
      <c r="E82" s="146" t="s">
        <v>147</v>
      </c>
      <c r="F82" s="60"/>
      <c r="G82"/>
      <c r="H82"/>
      <c r="I82"/>
      <c r="J82"/>
    </row>
    <row r="83" spans="1:10" x14ac:dyDescent="0.2">
      <c r="A83"/>
      <c r="B83" s="152" t="s">
        <v>10</v>
      </c>
      <c r="C83" s="39" t="s">
        <v>10</v>
      </c>
      <c r="D83" s="3"/>
      <c r="E83" s="152" t="s">
        <v>10</v>
      </c>
      <c r="F83" s="39" t="s">
        <v>10</v>
      </c>
      <c r="G83"/>
      <c r="H83"/>
      <c r="I83"/>
      <c r="J83"/>
    </row>
    <row r="84" spans="1:10" ht="13.5" thickBot="1" x14ac:dyDescent="0.25">
      <c r="A84"/>
      <c r="B84" s="161" t="s">
        <v>139</v>
      </c>
      <c r="C84" s="146" t="s">
        <v>148</v>
      </c>
      <c r="D84" s="3"/>
      <c r="E84" s="161" t="s">
        <v>139</v>
      </c>
      <c r="F84" s="146" t="s">
        <v>148</v>
      </c>
      <c r="G84"/>
      <c r="H84"/>
      <c r="I84"/>
      <c r="J84"/>
    </row>
    <row r="85" spans="1:10" x14ac:dyDescent="0.2">
      <c r="A85"/>
      <c r="B85" s="107" t="s">
        <v>181</v>
      </c>
      <c r="C85" s="104"/>
      <c r="D85" s="32"/>
      <c r="E85" s="107"/>
      <c r="F85" s="104"/>
      <c r="G85"/>
      <c r="H85"/>
      <c r="I85"/>
      <c r="J85"/>
    </row>
    <row r="86" spans="1:10" ht="13.5" thickBot="1" x14ac:dyDescent="0.25">
      <c r="A86"/>
      <c r="B86" s="108"/>
      <c r="C86" s="55"/>
      <c r="D86" s="32"/>
      <c r="E86" s="108"/>
      <c r="F86" s="55"/>
      <c r="G86"/>
      <c r="H86"/>
      <c r="I86"/>
      <c r="J86"/>
    </row>
    <row r="87" spans="1:10" ht="13.5" thickBot="1" x14ac:dyDescent="0.25">
      <c r="A87"/>
      <c r="B87" s="88" t="s">
        <v>149</v>
      </c>
      <c r="C87" s="165" t="s">
        <v>121</v>
      </c>
      <c r="D87" s="3"/>
      <c r="E87" s="88" t="s">
        <v>149</v>
      </c>
      <c r="F87" s="165" t="s">
        <v>121</v>
      </c>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s="182" t="s">
        <v>162</v>
      </c>
      <c r="C90"/>
      <c r="D90"/>
      <c r="E90"/>
      <c r="F90"/>
      <c r="G90"/>
      <c r="H90"/>
      <c r="I90"/>
      <c r="J90"/>
    </row>
    <row r="91" spans="1:10" x14ac:dyDescent="0.2">
      <c r="A91"/>
      <c r="B91"/>
      <c r="C91"/>
      <c r="D91"/>
      <c r="E91"/>
      <c r="F91"/>
      <c r="G91"/>
      <c r="H91"/>
      <c r="I91"/>
      <c r="J91"/>
    </row>
    <row r="92" spans="1:10" ht="13.5" thickBot="1" x14ac:dyDescent="0.25">
      <c r="A92"/>
      <c r="B92" s="33">
        <v>1</v>
      </c>
      <c r="C92" s="33"/>
      <c r="D92" s="33"/>
      <c r="E92" s="33">
        <v>2</v>
      </c>
      <c r="F92" s="33"/>
      <c r="G92"/>
      <c r="H92"/>
      <c r="I92"/>
      <c r="J92"/>
    </row>
    <row r="93" spans="1:10" ht="19.5" thickBot="1" x14ac:dyDescent="0.35">
      <c r="A93"/>
      <c r="B93" s="118" t="s">
        <v>136</v>
      </c>
      <c r="C93" s="104" t="s">
        <v>182</v>
      </c>
      <c r="D93" s="3"/>
      <c r="E93" s="118" t="s">
        <v>136</v>
      </c>
      <c r="F93" s="104" t="s">
        <v>183</v>
      </c>
      <c r="G93"/>
      <c r="H93"/>
      <c r="I93"/>
      <c r="J93"/>
    </row>
    <row r="94" spans="1:10" x14ac:dyDescent="0.2">
      <c r="A94"/>
      <c r="B94" s="22" t="s">
        <v>10</v>
      </c>
      <c r="C94" s="39"/>
      <c r="D94" s="3"/>
      <c r="E94" s="22" t="s">
        <v>10</v>
      </c>
      <c r="F94" s="39"/>
      <c r="G94"/>
      <c r="H94"/>
      <c r="I94"/>
      <c r="J94"/>
    </row>
    <row r="95" spans="1:10" ht="13.5" thickBot="1" x14ac:dyDescent="0.25">
      <c r="A95"/>
      <c r="B95" s="161" t="s">
        <v>150</v>
      </c>
      <c r="C95" s="146" t="s">
        <v>151</v>
      </c>
      <c r="D95" s="3"/>
      <c r="E95" s="161" t="s">
        <v>150</v>
      </c>
      <c r="F95" s="146" t="s">
        <v>151</v>
      </c>
      <c r="G95"/>
      <c r="H95"/>
      <c r="I95"/>
      <c r="J95"/>
    </row>
    <row r="96" spans="1:10" x14ac:dyDescent="0.2">
      <c r="A96"/>
      <c r="B96" s="107" t="s">
        <v>173</v>
      </c>
      <c r="C96" s="104"/>
      <c r="D96" s="3"/>
      <c r="E96" s="107" t="s">
        <v>175</v>
      </c>
      <c r="F96" s="35"/>
      <c r="G96"/>
      <c r="H96"/>
      <c r="I96"/>
      <c r="J96"/>
    </row>
    <row r="97" spans="1:10" x14ac:dyDescent="0.2">
      <c r="A97"/>
      <c r="B97" s="108" t="s">
        <v>174</v>
      </c>
      <c r="C97" s="154"/>
      <c r="D97" s="3"/>
      <c r="E97" s="108" t="s">
        <v>181</v>
      </c>
      <c r="F97" s="55"/>
      <c r="G97"/>
      <c r="H97"/>
      <c r="I97"/>
      <c r="J97"/>
    </row>
    <row r="98" spans="1:10" x14ac:dyDescent="0.2">
      <c r="A98"/>
      <c r="B98" s="108" t="s">
        <v>175</v>
      </c>
      <c r="C98" s="55"/>
      <c r="D98" s="3"/>
      <c r="E98" s="108" t="s">
        <v>177</v>
      </c>
      <c r="F98" s="55"/>
      <c r="G98"/>
      <c r="H98"/>
      <c r="I98"/>
      <c r="J98"/>
    </row>
    <row r="99" spans="1:10" x14ac:dyDescent="0.2">
      <c r="A99"/>
      <c r="B99" s="108" t="s">
        <v>176</v>
      </c>
      <c r="C99" s="55"/>
      <c r="D99" s="3"/>
      <c r="E99" s="108"/>
      <c r="F99" s="55"/>
      <c r="G99"/>
      <c r="H99"/>
      <c r="I99"/>
      <c r="J99"/>
    </row>
    <row r="100" spans="1:10" ht="13.5" thickBot="1" x14ac:dyDescent="0.25">
      <c r="A100"/>
      <c r="B100" s="184"/>
      <c r="C100" s="60"/>
      <c r="D100" s="3"/>
      <c r="E100" s="184"/>
      <c r="F100" s="60"/>
      <c r="G100"/>
      <c r="H100"/>
      <c r="I100"/>
      <c r="J100"/>
    </row>
    <row r="101" spans="1:10" x14ac:dyDescent="0.2">
      <c r="A101"/>
      <c r="B101"/>
      <c r="C101"/>
      <c r="D101"/>
      <c r="E101"/>
      <c r="F101"/>
      <c r="G101"/>
      <c r="H101"/>
      <c r="I101"/>
      <c r="J101"/>
    </row>
    <row r="102" spans="1:10" ht="13.5" thickBot="1" x14ac:dyDescent="0.25">
      <c r="A102"/>
      <c r="B102" s="33">
        <v>3</v>
      </c>
      <c r="C102" s="33"/>
      <c r="D102"/>
      <c r="E102"/>
      <c r="F102"/>
      <c r="G102"/>
      <c r="H102"/>
      <c r="I102"/>
      <c r="J102"/>
    </row>
    <row r="103" spans="1:10" ht="19.5" thickBot="1" x14ac:dyDescent="0.35">
      <c r="A103"/>
      <c r="B103" s="118" t="s">
        <v>136</v>
      </c>
      <c r="C103" s="104" t="s">
        <v>184</v>
      </c>
      <c r="D103"/>
      <c r="E103"/>
      <c r="F103"/>
      <c r="G103"/>
      <c r="H103"/>
      <c r="I103"/>
      <c r="J103"/>
    </row>
    <row r="104" spans="1:10" x14ac:dyDescent="0.2">
      <c r="A104"/>
      <c r="B104" s="22" t="s">
        <v>10</v>
      </c>
      <c r="C104" s="39"/>
      <c r="D104"/>
      <c r="E104"/>
      <c r="F104"/>
      <c r="G104"/>
      <c r="H104"/>
      <c r="I104"/>
      <c r="J104"/>
    </row>
    <row r="105" spans="1:10" ht="13.5" thickBot="1" x14ac:dyDescent="0.25">
      <c r="A105"/>
      <c r="B105" s="161" t="s">
        <v>150</v>
      </c>
      <c r="C105" s="146" t="s">
        <v>151</v>
      </c>
      <c r="D105"/>
      <c r="E105"/>
      <c r="F105"/>
      <c r="G105"/>
      <c r="H105"/>
      <c r="I105"/>
      <c r="J105"/>
    </row>
    <row r="106" spans="1:10" x14ac:dyDescent="0.2">
      <c r="A106"/>
      <c r="B106" s="107" t="s">
        <v>175</v>
      </c>
      <c r="C106" s="35"/>
      <c r="D106"/>
      <c r="E106"/>
      <c r="F106"/>
      <c r="G106"/>
      <c r="H106"/>
      <c r="I106"/>
      <c r="J106"/>
    </row>
    <row r="107" spans="1:10" x14ac:dyDescent="0.2">
      <c r="A107"/>
      <c r="B107" s="108" t="s">
        <v>177</v>
      </c>
      <c r="C107" s="55"/>
      <c r="D107"/>
      <c r="E107"/>
      <c r="F107"/>
      <c r="G107"/>
      <c r="H107"/>
      <c r="I107"/>
      <c r="J107"/>
    </row>
    <row r="108" spans="1:10" ht="13.5" thickBot="1" x14ac:dyDescent="0.25">
      <c r="A108"/>
      <c r="B108" s="184"/>
      <c r="C108" s="60"/>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16">
    <dataValidation type="list" allowBlank="1" sqref="C31 F14 C20 F20 F26 F31">
      <formula1>DistributionsEntsExits</formula1>
    </dataValidation>
    <dataValidation type="list" allowBlank="1" sqref="F32 F27 C21 F21 F15">
      <formula1>DistributionsEntsExitObjPerArrDep</formula1>
    </dataValidation>
    <dataValidation type="list" allowBlank="1" sqref="B86 B57:B58 E19 B38 B110 B89:B91 B76 F47 F30 B54 B30 F36 E66 D47 E88:E91 F52 B46 C101 F101 E99:E100 E104 B100 F57 E68 E75:E76 E85:E86 B108">
      <formula1>NameLabelRange</formula1>
    </dataValidation>
    <dataValidation type="list" allowBlank="1" sqref="C96:C100 C110 F104 C89:C91 C85:C86 C30 C75:C76 F41:F42 F65:F66 F68 C54 F88:F91 C38 C57:C58 C46 F75:F76 F85:F86 F96:F100 C106:C108">
      <formula1>WSNumOutputObjects</formula1>
    </dataValidation>
    <dataValidation type="list" allowBlank="1" sqref="D45:D46 D29:D30 D37:D38 D53:D54">
      <formula1>Resources</formula1>
    </dataValidation>
    <dataValidation type="list" allowBlank="1" sqref="F48 F38 F54 C72 F72 F82 C82">
      <formula1>DistributionsBuffersInitialObjects</formula1>
    </dataValidation>
    <dataValidation type="list" allowBlank="1" sqref="F53 F58 F37 C71 C81">
      <formula1>DistributionsBufferCap</formula1>
    </dataValidation>
    <dataValidation type="list" allowBlank="1" sqref="F43 C67 F67 F77 C77 F87 C87">
      <formula1>BufferDetailsYesNo</formula1>
    </dataValidation>
    <dataValidation type="list" allowBlank="1" sqref="E18 F13 F25">
      <formula1>NameLabelRange</formula1>
    </dataValidation>
    <dataValidation type="list" allowBlank="1" sqref="D49 B53 B18:B19 C13 B29 D25 B37 D33 B45 D41 E65 C60 F60 B65:B66 B68 B75 F70 C70 B85 F80 C80 E96:E98 B96:B99 F93 C93 B106:B107 C103">
      <formula1>NameLabelRange</formula1>
    </dataValidation>
    <dataValidation type="list" allowBlank="1" sqref="C15">
      <formula1>DistributionsEntsExitObjPerArrDep</formula1>
    </dataValidation>
    <dataValidation type="list" allowBlank="1" sqref="C14">
      <formula1>DistributionsEntsExits</formula1>
    </dataValidation>
    <dataValidation type="list" allowBlank="1" sqref="C53 C29 C37 C45 C65:C66 C68">
      <formula1>WSNumOutputObjects</formula1>
    </dataValidation>
    <dataValidation type="list" allowBlank="1" sqref="F62 C62">
      <formula1>DistributionsBuffersInitialObjects</formula1>
    </dataValidation>
    <dataValidation type="list" allowBlank="1" sqref="F61 C61 F71 F81">
      <formula1>DistributionsBufferCap</formula1>
    </dataValidation>
    <dataValidation type="list" allowBlank="1" sqref="D26 D34 D42 D50">
      <formula1>DistributionsWorkStations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K12" sqref="K12"/>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152</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62"/>
      <c r="C7" s="163"/>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5" t="s">
        <v>134</v>
      </c>
      <c r="C15" s="16"/>
      <c r="D15" s="17"/>
      <c r="E15" s="18"/>
      <c r="F15" s="93"/>
      <c r="G15" s="94"/>
      <c r="H15" s="95"/>
      <c r="I15" s="3"/>
      <c r="J15" s="3"/>
      <c r="K15" s="3"/>
      <c r="L15" s="3"/>
      <c r="M15" s="3"/>
      <c r="N15" s="3"/>
    </row>
    <row r="16" spans="1:14" ht="13.5" thickBot="1" x14ac:dyDescent="0.25">
      <c r="A16" s="3"/>
      <c r="B16" s="155" t="s">
        <v>135</v>
      </c>
      <c r="C16" s="16"/>
      <c r="D16" s="17"/>
      <c r="E16" s="18"/>
      <c r="F16" s="96" t="s">
        <v>154</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2" sqref="B12"/>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6" t="s">
        <v>136</v>
      </c>
      <c r="C7" s="124" t="s">
        <v>156</v>
      </c>
      <c r="D7" s="3"/>
      <c r="E7" s="156" t="s">
        <v>136</v>
      </c>
      <c r="F7" s="124"/>
      <c r="G7" s="3"/>
      <c r="H7" s="156" t="s">
        <v>136</v>
      </c>
      <c r="I7" s="124"/>
      <c r="J7" s="3"/>
      <c r="K7" s="156" t="s">
        <v>136</v>
      </c>
      <c r="L7" s="104"/>
      <c r="M7" s="3"/>
      <c r="N7" s="156" t="s">
        <v>136</v>
      </c>
      <c r="O7" s="124"/>
      <c r="P7" s="3"/>
      <c r="Q7" s="156" t="s">
        <v>136</v>
      </c>
      <c r="R7" s="124"/>
      <c r="S7" s="3"/>
      <c r="T7" s="156" t="s">
        <v>136</v>
      </c>
      <c r="U7" s="124"/>
      <c r="V7" s="3"/>
      <c r="W7" s="156" t="s">
        <v>136</v>
      </c>
      <c r="X7" s="104"/>
      <c r="Y7" s="3"/>
      <c r="Z7" s="156" t="s">
        <v>136</v>
      </c>
      <c r="AA7" s="124"/>
      <c r="AB7" s="3"/>
      <c r="AC7" s="156" t="s">
        <v>136</v>
      </c>
      <c r="AD7" s="124"/>
      <c r="AE7" s="3"/>
      <c r="AF7" s="156" t="s">
        <v>136</v>
      </c>
      <c r="AG7" s="124"/>
      <c r="AH7" s="3"/>
      <c r="AI7" s="156" t="s">
        <v>136</v>
      </c>
      <c r="AJ7" s="104"/>
      <c r="AK7" s="3"/>
      <c r="AL7" s="156" t="s">
        <v>136</v>
      </c>
      <c r="AM7" s="124"/>
      <c r="AN7" s="3"/>
      <c r="AO7" s="156" t="s">
        <v>136</v>
      </c>
      <c r="AP7" s="124"/>
      <c r="AQ7" s="3"/>
      <c r="AR7" s="156" t="s">
        <v>136</v>
      </c>
      <c r="AS7" s="124"/>
      <c r="AT7" s="3"/>
      <c r="AU7" s="156" t="s">
        <v>136</v>
      </c>
      <c r="AV7" s="104"/>
      <c r="AW7" s="3"/>
      <c r="AX7" s="156" t="s">
        <v>136</v>
      </c>
      <c r="AY7" s="124"/>
      <c r="AZ7" s="3"/>
      <c r="BA7" s="156" t="s">
        <v>136</v>
      </c>
      <c r="BB7" s="124"/>
      <c r="BC7" s="3"/>
      <c r="BD7" s="156" t="s">
        <v>136</v>
      </c>
      <c r="BE7" s="124"/>
      <c r="BF7" s="3"/>
      <c r="BG7" s="156" t="s">
        <v>136</v>
      </c>
      <c r="BH7" s="104"/>
      <c r="BI7" s="3"/>
      <c r="BJ7" s="156" t="s">
        <v>136</v>
      </c>
      <c r="BK7" s="124"/>
      <c r="BL7" s="3"/>
      <c r="BM7" s="156" t="s">
        <v>136</v>
      </c>
      <c r="BN7" s="124"/>
      <c r="BO7" s="3"/>
      <c r="BP7" s="156" t="s">
        <v>136</v>
      </c>
      <c r="BQ7" s="124"/>
      <c r="BR7" s="3"/>
      <c r="BS7" s="156" t="s">
        <v>136</v>
      </c>
      <c r="BT7" s="104"/>
      <c r="BU7" s="3"/>
      <c r="BV7" s="156" t="s">
        <v>136</v>
      </c>
      <c r="BW7" s="124"/>
      <c r="BX7" s="3"/>
      <c r="BY7" s="156" t="s">
        <v>136</v>
      </c>
      <c r="BZ7" s="124"/>
      <c r="CA7" s="3"/>
      <c r="CB7" s="156" t="s">
        <v>136</v>
      </c>
      <c r="CC7" s="124"/>
      <c r="CD7" s="3"/>
      <c r="CE7" s="156" t="s">
        <v>136</v>
      </c>
      <c r="CF7" s="104"/>
      <c r="CG7" s="3"/>
      <c r="CH7" s="156" t="s">
        <v>136</v>
      </c>
      <c r="CI7" s="124"/>
      <c r="CJ7" s="3"/>
      <c r="CK7" s="156" t="s">
        <v>136</v>
      </c>
      <c r="CL7" s="124"/>
      <c r="CM7" s="3"/>
      <c r="CN7" s="156" t="s">
        <v>136</v>
      </c>
      <c r="CO7" s="124"/>
      <c r="CP7" s="3"/>
      <c r="CQ7" s="156" t="s">
        <v>136</v>
      </c>
      <c r="CR7" s="104"/>
      <c r="CS7" s="3"/>
      <c r="CT7" s="156" t="s">
        <v>136</v>
      </c>
      <c r="CU7" s="124"/>
      <c r="CV7" s="3"/>
      <c r="CW7" s="156" t="s">
        <v>136</v>
      </c>
      <c r="CX7" s="104"/>
      <c r="CY7" s="3"/>
      <c r="CZ7" s="156" t="s">
        <v>136</v>
      </c>
      <c r="DA7" s="124"/>
      <c r="DB7" s="3"/>
      <c r="DC7" s="156" t="s">
        <v>136</v>
      </c>
      <c r="DD7" s="124"/>
      <c r="DE7" s="3"/>
      <c r="DF7" s="156" t="s">
        <v>136</v>
      </c>
      <c r="DG7" s="124"/>
      <c r="DH7" s="3"/>
      <c r="DI7" s="156" t="s">
        <v>136</v>
      </c>
      <c r="DJ7" s="104"/>
      <c r="DK7" s="3"/>
      <c r="DL7" s="156" t="s">
        <v>136</v>
      </c>
      <c r="DM7" s="124"/>
      <c r="DN7" s="3"/>
      <c r="DO7" s="156" t="s">
        <v>136</v>
      </c>
      <c r="DP7" s="124"/>
      <c r="DQ7" s="3"/>
      <c r="DR7" s="156" t="s">
        <v>136</v>
      </c>
      <c r="DS7" s="124"/>
      <c r="DT7" s="3"/>
      <c r="DU7" s="156" t="s">
        <v>136</v>
      </c>
      <c r="DV7" s="104"/>
      <c r="DW7" s="3"/>
      <c r="DX7" s="156" t="s">
        <v>136</v>
      </c>
      <c r="DY7" s="124"/>
      <c r="DZ7" s="3"/>
      <c r="EA7" s="156" t="s">
        <v>136</v>
      </c>
      <c r="EB7" s="124"/>
      <c r="EC7" s="3"/>
      <c r="ED7" s="156" t="s">
        <v>136</v>
      </c>
      <c r="EE7" s="124"/>
      <c r="EF7" s="3"/>
      <c r="EG7" s="156" t="s">
        <v>136</v>
      </c>
      <c r="EH7" s="104"/>
      <c r="EI7" s="3"/>
      <c r="EJ7" s="156" t="s">
        <v>136</v>
      </c>
      <c r="EK7" s="124"/>
      <c r="EL7" s="3"/>
      <c r="EM7" s="156" t="s">
        <v>136</v>
      </c>
      <c r="EN7" s="124"/>
      <c r="EO7" s="3"/>
      <c r="EP7" s="156" t="s">
        <v>136</v>
      </c>
      <c r="EQ7" s="124"/>
      <c r="ER7" s="3"/>
      <c r="ES7" s="156" t="s">
        <v>136</v>
      </c>
      <c r="ET7" s="104"/>
      <c r="EU7" s="3"/>
    </row>
    <row r="8" spans="1:151" x14ac:dyDescent="0.2">
      <c r="A8" s="3"/>
      <c r="B8" s="157" t="s">
        <v>137</v>
      </c>
      <c r="C8" s="116"/>
      <c r="D8" s="3"/>
      <c r="E8" s="157" t="s">
        <v>137</v>
      </c>
      <c r="F8" s="116"/>
      <c r="G8" s="3"/>
      <c r="H8" s="157" t="s">
        <v>137</v>
      </c>
      <c r="I8" s="116"/>
      <c r="J8" s="3"/>
      <c r="K8" s="157" t="s">
        <v>137</v>
      </c>
      <c r="L8" s="116"/>
      <c r="M8" s="3"/>
      <c r="N8" s="157" t="s">
        <v>137</v>
      </c>
      <c r="O8" s="116"/>
      <c r="P8" s="3"/>
      <c r="Q8" s="157" t="s">
        <v>137</v>
      </c>
      <c r="R8" s="116"/>
      <c r="S8" s="3"/>
      <c r="T8" s="157" t="s">
        <v>137</v>
      </c>
      <c r="U8" s="116"/>
      <c r="V8" s="3"/>
      <c r="W8" s="157" t="s">
        <v>137</v>
      </c>
      <c r="X8" s="116"/>
      <c r="Y8" s="3"/>
      <c r="Z8" s="157" t="s">
        <v>137</v>
      </c>
      <c r="AA8" s="116"/>
      <c r="AB8" s="3"/>
      <c r="AC8" s="157" t="s">
        <v>137</v>
      </c>
      <c r="AD8" s="116"/>
      <c r="AE8" s="3"/>
      <c r="AF8" s="157" t="s">
        <v>137</v>
      </c>
      <c r="AG8" s="116"/>
      <c r="AH8" s="3"/>
      <c r="AI8" s="157" t="s">
        <v>137</v>
      </c>
      <c r="AJ8" s="116"/>
      <c r="AK8" s="3"/>
      <c r="AL8" s="157" t="s">
        <v>137</v>
      </c>
      <c r="AM8" s="116"/>
      <c r="AN8" s="3"/>
      <c r="AO8" s="157" t="s">
        <v>137</v>
      </c>
      <c r="AP8" s="116"/>
      <c r="AQ8" s="3"/>
      <c r="AR8" s="157" t="s">
        <v>137</v>
      </c>
      <c r="AS8" s="116"/>
      <c r="AT8" s="3"/>
      <c r="AU8" s="157" t="s">
        <v>137</v>
      </c>
      <c r="AV8" s="116"/>
      <c r="AW8" s="3"/>
      <c r="AX8" s="157" t="s">
        <v>137</v>
      </c>
      <c r="AY8" s="116"/>
      <c r="AZ8" s="3"/>
      <c r="BA8" s="157" t="s">
        <v>137</v>
      </c>
      <c r="BB8" s="116"/>
      <c r="BC8" s="3"/>
      <c r="BD8" s="157" t="s">
        <v>137</v>
      </c>
      <c r="BE8" s="116"/>
      <c r="BF8" s="3"/>
      <c r="BG8" s="157" t="s">
        <v>137</v>
      </c>
      <c r="BH8" s="116"/>
      <c r="BI8" s="3"/>
      <c r="BJ8" s="157" t="s">
        <v>137</v>
      </c>
      <c r="BK8" s="116"/>
      <c r="BL8" s="3"/>
      <c r="BM8" s="157" t="s">
        <v>137</v>
      </c>
      <c r="BN8" s="116"/>
      <c r="BO8" s="3"/>
      <c r="BP8" s="157" t="s">
        <v>137</v>
      </c>
      <c r="BQ8" s="116"/>
      <c r="BR8" s="3"/>
      <c r="BS8" s="157" t="s">
        <v>137</v>
      </c>
      <c r="BT8" s="116"/>
      <c r="BU8" s="3"/>
      <c r="BV8" s="157" t="s">
        <v>137</v>
      </c>
      <c r="BW8" s="116"/>
      <c r="BX8" s="3"/>
      <c r="BY8" s="157" t="s">
        <v>137</v>
      </c>
      <c r="BZ8" s="116"/>
      <c r="CA8" s="3"/>
      <c r="CB8" s="157" t="s">
        <v>137</v>
      </c>
      <c r="CC8" s="116"/>
      <c r="CD8" s="3"/>
      <c r="CE8" s="157" t="s">
        <v>137</v>
      </c>
      <c r="CF8" s="116"/>
      <c r="CG8" s="3"/>
      <c r="CH8" s="157" t="s">
        <v>137</v>
      </c>
      <c r="CI8" s="116"/>
      <c r="CJ8" s="3"/>
      <c r="CK8" s="157" t="s">
        <v>137</v>
      </c>
      <c r="CL8" s="116"/>
      <c r="CM8" s="3"/>
      <c r="CN8" s="157" t="s">
        <v>137</v>
      </c>
      <c r="CO8" s="116"/>
      <c r="CP8" s="3"/>
      <c r="CQ8" s="157" t="s">
        <v>137</v>
      </c>
      <c r="CR8" s="116"/>
      <c r="CS8" s="3"/>
      <c r="CT8" s="157" t="s">
        <v>137</v>
      </c>
      <c r="CU8" s="116"/>
      <c r="CV8" s="3"/>
      <c r="CW8" s="157" t="s">
        <v>137</v>
      </c>
      <c r="CX8" s="116"/>
      <c r="CY8" s="3"/>
      <c r="CZ8" s="157" t="s">
        <v>137</v>
      </c>
      <c r="DA8" s="116"/>
      <c r="DB8" s="3"/>
      <c r="DC8" s="157" t="s">
        <v>137</v>
      </c>
      <c r="DD8" s="116"/>
      <c r="DE8" s="3"/>
      <c r="DF8" s="157" t="s">
        <v>137</v>
      </c>
      <c r="DG8" s="116"/>
      <c r="DH8" s="3"/>
      <c r="DI8" s="157" t="s">
        <v>137</v>
      </c>
      <c r="DJ8" s="116"/>
      <c r="DK8" s="3"/>
      <c r="DL8" s="157" t="s">
        <v>137</v>
      </c>
      <c r="DM8" s="116"/>
      <c r="DN8" s="3"/>
      <c r="DO8" s="157" t="s">
        <v>137</v>
      </c>
      <c r="DP8" s="116"/>
      <c r="DQ8" s="3"/>
      <c r="DR8" s="157" t="s">
        <v>137</v>
      </c>
      <c r="DS8" s="116"/>
      <c r="DT8" s="3"/>
      <c r="DU8" s="157" t="s">
        <v>137</v>
      </c>
      <c r="DV8" s="116"/>
      <c r="DW8" s="3"/>
      <c r="DX8" s="157" t="s">
        <v>137</v>
      </c>
      <c r="DY8" s="116"/>
      <c r="DZ8" s="3"/>
      <c r="EA8" s="157" t="s">
        <v>137</v>
      </c>
      <c r="EB8" s="116"/>
      <c r="EC8" s="3"/>
      <c r="ED8" s="157" t="s">
        <v>137</v>
      </c>
      <c r="EE8" s="116"/>
      <c r="EF8" s="3"/>
      <c r="EG8" s="157" t="s">
        <v>137</v>
      </c>
      <c r="EH8" s="116"/>
      <c r="EI8" s="3"/>
      <c r="EJ8" s="157" t="s">
        <v>137</v>
      </c>
      <c r="EK8" s="116"/>
      <c r="EL8" s="3"/>
      <c r="EM8" s="157" t="s">
        <v>137</v>
      </c>
      <c r="EN8" s="116"/>
      <c r="EO8" s="3"/>
      <c r="EP8" s="157" t="s">
        <v>137</v>
      </c>
      <c r="EQ8" s="116"/>
      <c r="ER8" s="3"/>
      <c r="ES8" s="157" t="s">
        <v>137</v>
      </c>
      <c r="ET8" s="116"/>
      <c r="EU8" s="3"/>
    </row>
    <row r="9" spans="1:151" ht="13.5" thickBot="1" x14ac:dyDescent="0.25">
      <c r="A9" s="3"/>
      <c r="B9" s="158" t="s">
        <v>138</v>
      </c>
      <c r="C9" s="116"/>
      <c r="D9" s="3"/>
      <c r="E9" s="158" t="s">
        <v>138</v>
      </c>
      <c r="F9" s="37"/>
      <c r="G9" s="3"/>
      <c r="H9" s="158" t="s">
        <v>138</v>
      </c>
      <c r="I9" s="37"/>
      <c r="J9" s="3"/>
      <c r="K9" s="158" t="s">
        <v>138</v>
      </c>
      <c r="L9" s="37"/>
      <c r="M9" s="3"/>
      <c r="N9" s="158" t="s">
        <v>138</v>
      </c>
      <c r="O9" s="37"/>
      <c r="P9" s="3"/>
      <c r="Q9" s="158" t="s">
        <v>138</v>
      </c>
      <c r="R9" s="37"/>
      <c r="S9" s="3"/>
      <c r="T9" s="158" t="s">
        <v>138</v>
      </c>
      <c r="U9" s="37"/>
      <c r="V9" s="3"/>
      <c r="W9" s="158" t="s">
        <v>138</v>
      </c>
      <c r="X9" s="37"/>
      <c r="Y9" s="3"/>
      <c r="Z9" s="158" t="s">
        <v>138</v>
      </c>
      <c r="AA9" s="37"/>
      <c r="AB9" s="3"/>
      <c r="AC9" s="158" t="s">
        <v>138</v>
      </c>
      <c r="AD9" s="37"/>
      <c r="AE9" s="3"/>
      <c r="AF9" s="158" t="s">
        <v>138</v>
      </c>
      <c r="AG9" s="37"/>
      <c r="AH9" s="3"/>
      <c r="AI9" s="158" t="s">
        <v>138</v>
      </c>
      <c r="AJ9" s="37"/>
      <c r="AK9" s="3"/>
      <c r="AL9" s="158" t="s">
        <v>138</v>
      </c>
      <c r="AM9" s="37"/>
      <c r="AN9" s="3"/>
      <c r="AO9" s="158" t="s">
        <v>138</v>
      </c>
      <c r="AP9" s="37"/>
      <c r="AQ9" s="3"/>
      <c r="AR9" s="158" t="s">
        <v>138</v>
      </c>
      <c r="AS9" s="37"/>
      <c r="AT9" s="3"/>
      <c r="AU9" s="158" t="s">
        <v>138</v>
      </c>
      <c r="AV9" s="37"/>
      <c r="AW9" s="3"/>
      <c r="AX9" s="158" t="s">
        <v>138</v>
      </c>
      <c r="AY9" s="37"/>
      <c r="AZ9" s="3"/>
      <c r="BA9" s="158" t="s">
        <v>138</v>
      </c>
      <c r="BB9" s="37"/>
      <c r="BC9" s="3"/>
      <c r="BD9" s="158" t="s">
        <v>138</v>
      </c>
      <c r="BE9" s="37"/>
      <c r="BF9" s="3"/>
      <c r="BG9" s="158" t="s">
        <v>138</v>
      </c>
      <c r="BH9" s="37"/>
      <c r="BI9" s="3"/>
      <c r="BJ9" s="158" t="s">
        <v>138</v>
      </c>
      <c r="BK9" s="37"/>
      <c r="BL9" s="3"/>
      <c r="BM9" s="158" t="s">
        <v>138</v>
      </c>
      <c r="BN9" s="37"/>
      <c r="BO9" s="3"/>
      <c r="BP9" s="158" t="s">
        <v>138</v>
      </c>
      <c r="BQ9" s="37"/>
      <c r="BR9" s="3"/>
      <c r="BS9" s="158" t="s">
        <v>138</v>
      </c>
      <c r="BT9" s="37"/>
      <c r="BU9" s="3"/>
      <c r="BV9" s="158" t="s">
        <v>138</v>
      </c>
      <c r="BW9" s="37"/>
      <c r="BX9" s="3"/>
      <c r="BY9" s="158" t="s">
        <v>138</v>
      </c>
      <c r="BZ9" s="37"/>
      <c r="CA9" s="3"/>
      <c r="CB9" s="158" t="s">
        <v>138</v>
      </c>
      <c r="CC9" s="37"/>
      <c r="CD9" s="3"/>
      <c r="CE9" s="158" t="s">
        <v>138</v>
      </c>
      <c r="CF9" s="37"/>
      <c r="CG9" s="3"/>
      <c r="CH9" s="158" t="s">
        <v>138</v>
      </c>
      <c r="CI9" s="37"/>
      <c r="CJ9" s="3"/>
      <c r="CK9" s="158" t="s">
        <v>138</v>
      </c>
      <c r="CL9" s="37"/>
      <c r="CM9" s="3"/>
      <c r="CN9" s="158" t="s">
        <v>138</v>
      </c>
      <c r="CO9" s="37"/>
      <c r="CP9" s="3"/>
      <c r="CQ9" s="158" t="s">
        <v>138</v>
      </c>
      <c r="CR9" s="37"/>
      <c r="CS9" s="3"/>
      <c r="CT9" s="158" t="s">
        <v>138</v>
      </c>
      <c r="CU9" s="37"/>
      <c r="CV9" s="3"/>
      <c r="CW9" s="158" t="s">
        <v>138</v>
      </c>
      <c r="CX9" s="37"/>
      <c r="CY9" s="3"/>
      <c r="CZ9" s="158" t="s">
        <v>138</v>
      </c>
      <c r="DA9" s="37"/>
      <c r="DB9" s="3"/>
      <c r="DC9" s="158" t="s">
        <v>138</v>
      </c>
      <c r="DD9" s="37"/>
      <c r="DE9" s="3"/>
      <c r="DF9" s="158" t="s">
        <v>138</v>
      </c>
      <c r="DG9" s="37"/>
      <c r="DH9" s="3"/>
      <c r="DI9" s="158" t="s">
        <v>138</v>
      </c>
      <c r="DJ9" s="37"/>
      <c r="DK9" s="3"/>
      <c r="DL9" s="158" t="s">
        <v>138</v>
      </c>
      <c r="DM9" s="37"/>
      <c r="DN9" s="3"/>
      <c r="DO9" s="158" t="s">
        <v>138</v>
      </c>
      <c r="DP9" s="37"/>
      <c r="DQ9" s="3"/>
      <c r="DR9" s="158" t="s">
        <v>138</v>
      </c>
      <c r="DS9" s="37"/>
      <c r="DT9" s="3"/>
      <c r="DU9" s="158" t="s">
        <v>138</v>
      </c>
      <c r="DV9" s="37"/>
      <c r="DW9" s="3"/>
      <c r="DX9" s="158" t="s">
        <v>138</v>
      </c>
      <c r="DY9" s="37"/>
      <c r="DZ9" s="3"/>
      <c r="EA9" s="158" t="s">
        <v>138</v>
      </c>
      <c r="EB9" s="37"/>
      <c r="EC9" s="3"/>
      <c r="ED9" s="158" t="s">
        <v>138</v>
      </c>
      <c r="EE9" s="37"/>
      <c r="EF9" s="3"/>
      <c r="EG9" s="158" t="s">
        <v>138</v>
      </c>
      <c r="EH9" s="37"/>
      <c r="EI9" s="3"/>
      <c r="EJ9" s="158" t="s">
        <v>138</v>
      </c>
      <c r="EK9" s="37"/>
      <c r="EL9" s="3"/>
      <c r="EM9" s="158" t="s">
        <v>138</v>
      </c>
      <c r="EN9" s="37"/>
      <c r="EO9" s="3"/>
      <c r="EP9" s="158" t="s">
        <v>138</v>
      </c>
      <c r="EQ9" s="37"/>
      <c r="ER9" s="3"/>
      <c r="ES9" s="158" t="s">
        <v>138</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139</v>
      </c>
      <c r="C11" s="42"/>
      <c r="D11" s="3"/>
      <c r="E11" s="146" t="s">
        <v>139</v>
      </c>
      <c r="F11" s="42"/>
      <c r="G11" s="3"/>
      <c r="H11" s="146" t="s">
        <v>139</v>
      </c>
      <c r="I11" s="42"/>
      <c r="J11" s="3"/>
      <c r="K11" s="146" t="s">
        <v>139</v>
      </c>
      <c r="L11" s="42"/>
      <c r="M11" s="3"/>
      <c r="N11" s="146" t="s">
        <v>139</v>
      </c>
      <c r="O11" s="42"/>
      <c r="P11" s="3"/>
      <c r="Q11" s="146" t="s">
        <v>139</v>
      </c>
      <c r="R11" s="42"/>
      <c r="S11" s="3"/>
      <c r="T11" s="146" t="s">
        <v>139</v>
      </c>
      <c r="U11" s="42"/>
      <c r="V11" s="3"/>
      <c r="W11" s="146" t="s">
        <v>139</v>
      </c>
      <c r="X11" s="42"/>
      <c r="Y11" s="3"/>
      <c r="Z11" s="146" t="s">
        <v>139</v>
      </c>
      <c r="AA11" s="42"/>
      <c r="AB11" s="3"/>
      <c r="AC11" s="146" t="s">
        <v>139</v>
      </c>
      <c r="AD11" s="42"/>
      <c r="AE11" s="3"/>
      <c r="AF11" s="146" t="s">
        <v>139</v>
      </c>
      <c r="AG11" s="42"/>
      <c r="AH11" s="3"/>
      <c r="AI11" s="146" t="s">
        <v>139</v>
      </c>
      <c r="AJ11" s="42"/>
      <c r="AK11" s="3"/>
      <c r="AL11" s="146" t="s">
        <v>139</v>
      </c>
      <c r="AM11" s="42"/>
      <c r="AN11" s="3"/>
      <c r="AO11" s="146" t="s">
        <v>139</v>
      </c>
      <c r="AP11" s="42"/>
      <c r="AQ11" s="3"/>
      <c r="AR11" s="146" t="s">
        <v>139</v>
      </c>
      <c r="AS11" s="42"/>
      <c r="AT11" s="3"/>
      <c r="AU11" s="146" t="s">
        <v>139</v>
      </c>
      <c r="AV11" s="42"/>
      <c r="AW11" s="3"/>
      <c r="AX11" s="146" t="s">
        <v>139</v>
      </c>
      <c r="AY11" s="42"/>
      <c r="AZ11" s="3"/>
      <c r="BA11" s="146" t="s">
        <v>139</v>
      </c>
      <c r="BB11" s="42"/>
      <c r="BC11" s="3"/>
      <c r="BD11" s="146" t="s">
        <v>139</v>
      </c>
      <c r="BE11" s="42"/>
      <c r="BF11" s="3"/>
      <c r="BG11" s="146" t="s">
        <v>139</v>
      </c>
      <c r="BH11" s="42"/>
      <c r="BI11" s="3"/>
      <c r="BJ11" s="146" t="s">
        <v>139</v>
      </c>
      <c r="BK11" s="42"/>
      <c r="BL11" s="3"/>
      <c r="BM11" s="146" t="s">
        <v>139</v>
      </c>
      <c r="BN11" s="42"/>
      <c r="BO11" s="3"/>
      <c r="BP11" s="146" t="s">
        <v>139</v>
      </c>
      <c r="BQ11" s="42"/>
      <c r="BR11" s="3"/>
      <c r="BS11" s="146" t="s">
        <v>139</v>
      </c>
      <c r="BT11" s="42"/>
      <c r="BU11" s="3"/>
      <c r="BV11" s="146" t="s">
        <v>139</v>
      </c>
      <c r="BW11" s="42"/>
      <c r="BX11" s="3"/>
      <c r="BY11" s="146" t="s">
        <v>139</v>
      </c>
      <c r="BZ11" s="42"/>
      <c r="CA11" s="3"/>
      <c r="CB11" s="146" t="s">
        <v>139</v>
      </c>
      <c r="CC11" s="42"/>
      <c r="CD11" s="3"/>
      <c r="CE11" s="146" t="s">
        <v>139</v>
      </c>
      <c r="CF11" s="42"/>
      <c r="CG11" s="3"/>
      <c r="CH11" s="146" t="s">
        <v>139</v>
      </c>
      <c r="CI11" s="42"/>
      <c r="CJ11" s="3"/>
      <c r="CK11" s="146" t="s">
        <v>139</v>
      </c>
      <c r="CL11" s="42"/>
      <c r="CM11" s="3"/>
      <c r="CN11" s="146" t="s">
        <v>139</v>
      </c>
      <c r="CO11" s="42"/>
      <c r="CP11" s="3"/>
      <c r="CQ11" s="146" t="s">
        <v>139</v>
      </c>
      <c r="CR11" s="42"/>
      <c r="CS11" s="3"/>
      <c r="CT11" s="146" t="s">
        <v>139</v>
      </c>
      <c r="CU11" s="42"/>
      <c r="CV11" s="3"/>
      <c r="CW11" s="146" t="s">
        <v>139</v>
      </c>
      <c r="CX11" s="42"/>
      <c r="CY11" s="3"/>
      <c r="CZ11" s="146" t="s">
        <v>139</v>
      </c>
      <c r="DA11" s="42"/>
      <c r="DB11" s="3"/>
      <c r="DC11" s="146" t="s">
        <v>139</v>
      </c>
      <c r="DD11" s="42"/>
      <c r="DE11" s="3"/>
      <c r="DF11" s="146" t="s">
        <v>139</v>
      </c>
      <c r="DG11" s="42"/>
      <c r="DH11" s="3"/>
      <c r="DI11" s="146" t="s">
        <v>139</v>
      </c>
      <c r="DJ11" s="42"/>
      <c r="DK11" s="3"/>
      <c r="DL11" s="146" t="s">
        <v>139</v>
      </c>
      <c r="DM11" s="42"/>
      <c r="DN11" s="3"/>
      <c r="DO11" s="146" t="s">
        <v>139</v>
      </c>
      <c r="DP11" s="42"/>
      <c r="DQ11" s="3"/>
      <c r="DR11" s="146" t="s">
        <v>139</v>
      </c>
      <c r="DS11" s="42"/>
      <c r="DT11" s="3"/>
      <c r="DU11" s="146" t="s">
        <v>139</v>
      </c>
      <c r="DV11" s="42"/>
      <c r="DW11" s="3"/>
      <c r="DX11" s="146" t="s">
        <v>139</v>
      </c>
      <c r="DY11" s="42"/>
      <c r="DZ11" s="3"/>
      <c r="EA11" s="146" t="s">
        <v>139</v>
      </c>
      <c r="EB11" s="42"/>
      <c r="EC11" s="3"/>
      <c r="ED11" s="146" t="s">
        <v>139</v>
      </c>
      <c r="EE11" s="42"/>
      <c r="EF11" s="3"/>
      <c r="EG11" s="146" t="s">
        <v>139</v>
      </c>
      <c r="EH11" s="42"/>
      <c r="EI11" s="3"/>
      <c r="EJ11" s="146" t="s">
        <v>139</v>
      </c>
      <c r="EK11" s="42"/>
      <c r="EL11" s="3"/>
      <c r="EM11" s="146" t="s">
        <v>139</v>
      </c>
      <c r="EN11" s="42"/>
      <c r="EO11" s="3"/>
      <c r="EP11" s="146" t="s">
        <v>139</v>
      </c>
      <c r="EQ11" s="42"/>
      <c r="ER11" s="3"/>
      <c r="ES11" s="146" t="s">
        <v>139</v>
      </c>
      <c r="ET11" s="42"/>
      <c r="EU11" s="3"/>
    </row>
    <row r="12" spans="1:151" x14ac:dyDescent="0.2">
      <c r="A12" s="3"/>
      <c r="B12" s="108" t="s">
        <v>172</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F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C10" sqref="C10"/>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c r="D7" s="117"/>
      <c r="E7" s="118" t="s">
        <v>136</v>
      </c>
      <c r="F7" s="104"/>
      <c r="G7" s="117"/>
      <c r="H7" s="118" t="s">
        <v>136</v>
      </c>
      <c r="I7" s="104"/>
      <c r="J7" s="117"/>
      <c r="K7" s="118" t="s">
        <v>136</v>
      </c>
      <c r="L7" s="104"/>
      <c r="M7" s="117"/>
      <c r="N7" s="118" t="s">
        <v>136</v>
      </c>
      <c r="O7" s="104"/>
      <c r="P7" s="117"/>
      <c r="Q7" s="118" t="s">
        <v>136</v>
      </c>
      <c r="R7" s="104"/>
      <c r="S7" s="117"/>
      <c r="T7" s="118" t="s">
        <v>136</v>
      </c>
      <c r="U7" s="104"/>
      <c r="V7" s="117"/>
      <c r="W7" s="118" t="s">
        <v>136</v>
      </c>
      <c r="X7" s="104"/>
      <c r="Y7" s="117"/>
      <c r="Z7" s="118" t="s">
        <v>136</v>
      </c>
      <c r="AA7" s="104"/>
      <c r="AB7" s="117"/>
      <c r="AC7" s="118" t="s">
        <v>136</v>
      </c>
      <c r="AD7" s="104"/>
      <c r="AE7" s="117"/>
      <c r="AF7" s="118" t="s">
        <v>136</v>
      </c>
      <c r="AG7" s="104"/>
      <c r="AH7" s="117"/>
      <c r="AI7" s="118" t="s">
        <v>136</v>
      </c>
      <c r="AJ7" s="104"/>
      <c r="AK7" s="117"/>
      <c r="AL7" s="118" t="s">
        <v>136</v>
      </c>
      <c r="AM7" s="104"/>
      <c r="AN7" s="117"/>
      <c r="AO7" s="118" t="s">
        <v>136</v>
      </c>
      <c r="AP7" s="104"/>
      <c r="AQ7" s="117"/>
      <c r="AR7" s="118" t="s">
        <v>136</v>
      </c>
      <c r="AS7" s="104"/>
      <c r="AT7" s="117"/>
      <c r="AU7" s="118" t="s">
        <v>136</v>
      </c>
      <c r="AV7" s="104"/>
      <c r="AW7" s="117"/>
      <c r="AX7" s="118" t="s">
        <v>136</v>
      </c>
      <c r="AY7" s="104"/>
      <c r="AZ7" s="117"/>
      <c r="BA7" s="118" t="s">
        <v>136</v>
      </c>
      <c r="BB7" s="104"/>
      <c r="BC7" s="117"/>
      <c r="BD7" s="118" t="s">
        <v>136</v>
      </c>
      <c r="BE7" s="104"/>
      <c r="BF7" s="117"/>
      <c r="BG7" s="118" t="s">
        <v>136</v>
      </c>
      <c r="BH7" s="104"/>
      <c r="BI7" s="117"/>
      <c r="BJ7" s="118" t="s">
        <v>136</v>
      </c>
      <c r="BK7" s="104"/>
      <c r="BL7" s="117"/>
      <c r="BM7" s="118" t="s">
        <v>136</v>
      </c>
      <c r="BN7" s="104"/>
      <c r="BO7" s="117"/>
      <c r="BP7" s="118" t="s">
        <v>136</v>
      </c>
      <c r="BQ7" s="104"/>
      <c r="BR7" s="117"/>
      <c r="BS7" s="118" t="s">
        <v>136</v>
      </c>
      <c r="BT7" s="104"/>
      <c r="BU7" s="117"/>
      <c r="BV7" s="118" t="s">
        <v>136</v>
      </c>
      <c r="BW7" s="104"/>
      <c r="BX7" s="117"/>
      <c r="BY7" s="118" t="s">
        <v>136</v>
      </c>
      <c r="BZ7" s="104"/>
      <c r="CA7" s="117"/>
      <c r="CB7" s="118" t="s">
        <v>136</v>
      </c>
      <c r="CC7" s="104"/>
      <c r="CD7" s="117"/>
      <c r="CE7" s="118" t="s">
        <v>136</v>
      </c>
      <c r="CF7" s="104"/>
      <c r="CG7" s="117"/>
      <c r="CH7" s="118" t="s">
        <v>136</v>
      </c>
      <c r="CI7" s="104"/>
      <c r="CJ7" s="117"/>
      <c r="CK7" s="118" t="s">
        <v>136</v>
      </c>
      <c r="CL7" s="104"/>
      <c r="CM7" s="117"/>
      <c r="CN7" s="118" t="s">
        <v>136</v>
      </c>
      <c r="CO7" s="104"/>
      <c r="CP7" s="117"/>
      <c r="CQ7" s="118" t="s">
        <v>136</v>
      </c>
      <c r="CR7" s="104"/>
      <c r="CS7" s="117"/>
      <c r="CT7" s="118" t="s">
        <v>136</v>
      </c>
      <c r="CU7" s="104"/>
      <c r="CV7" s="117"/>
      <c r="CW7" s="118" t="s">
        <v>136</v>
      </c>
      <c r="CX7" s="104"/>
      <c r="CY7" s="117"/>
      <c r="CZ7" s="118" t="s">
        <v>136</v>
      </c>
      <c r="DA7" s="104"/>
      <c r="DB7" s="117"/>
      <c r="DC7" s="118" t="s">
        <v>136</v>
      </c>
      <c r="DD7" s="104"/>
      <c r="DE7" s="117"/>
      <c r="DF7" s="118" t="s">
        <v>136</v>
      </c>
      <c r="DG7" s="104"/>
      <c r="DH7" s="117"/>
      <c r="DI7" s="118" t="s">
        <v>136</v>
      </c>
      <c r="DJ7" s="104"/>
      <c r="DK7" s="117"/>
      <c r="DL7" s="118" t="s">
        <v>136</v>
      </c>
      <c r="DM7" s="104"/>
      <c r="DN7" s="117"/>
      <c r="DO7" s="118" t="s">
        <v>136</v>
      </c>
      <c r="DP7" s="104"/>
      <c r="DQ7" s="117"/>
      <c r="DR7" s="118" t="s">
        <v>136</v>
      </c>
      <c r="DS7" s="104"/>
      <c r="DT7" s="117"/>
      <c r="DU7" s="118" t="s">
        <v>136</v>
      </c>
      <c r="DV7" s="104"/>
      <c r="DW7" s="117"/>
      <c r="DX7" s="118" t="s">
        <v>136</v>
      </c>
      <c r="DY7" s="104"/>
      <c r="DZ7" s="117"/>
      <c r="EA7" s="118" t="s">
        <v>136</v>
      </c>
      <c r="EB7" s="104"/>
      <c r="EC7" s="117"/>
      <c r="ED7" s="118" t="s">
        <v>136</v>
      </c>
      <c r="EE7" s="104"/>
      <c r="EF7" s="117"/>
      <c r="EG7" s="118" t="s">
        <v>136</v>
      </c>
      <c r="EH7" s="104"/>
      <c r="EI7" s="117"/>
      <c r="EJ7" s="118" t="s">
        <v>136</v>
      </c>
      <c r="EK7" s="104"/>
      <c r="EL7" s="117"/>
      <c r="EM7" s="118" t="s">
        <v>136</v>
      </c>
      <c r="EN7" s="104"/>
      <c r="EO7" s="117"/>
      <c r="EP7" s="118" t="s">
        <v>136</v>
      </c>
      <c r="EQ7" s="104"/>
      <c r="ER7" s="117"/>
      <c r="ES7" s="118" t="s">
        <v>136</v>
      </c>
      <c r="ET7" s="104"/>
      <c r="EU7" s="3"/>
    </row>
    <row r="8" spans="1:151" x14ac:dyDescent="0.2">
      <c r="A8" s="3"/>
      <c r="B8" s="119" t="s">
        <v>140</v>
      </c>
      <c r="C8" s="116"/>
      <c r="D8" s="117"/>
      <c r="E8" s="119" t="s">
        <v>140</v>
      </c>
      <c r="F8" s="116"/>
      <c r="G8" s="117"/>
      <c r="H8" s="119" t="s">
        <v>140</v>
      </c>
      <c r="I8" s="116"/>
      <c r="J8" s="117"/>
      <c r="K8" s="119" t="s">
        <v>140</v>
      </c>
      <c r="L8" s="116"/>
      <c r="M8" s="117"/>
      <c r="N8" s="119" t="s">
        <v>140</v>
      </c>
      <c r="O8" s="116"/>
      <c r="P8" s="117"/>
      <c r="Q8" s="119" t="s">
        <v>140</v>
      </c>
      <c r="R8" s="116"/>
      <c r="S8" s="117"/>
      <c r="T8" s="119" t="s">
        <v>140</v>
      </c>
      <c r="U8" s="116"/>
      <c r="V8" s="117"/>
      <c r="W8" s="119" t="s">
        <v>140</v>
      </c>
      <c r="X8" s="116"/>
      <c r="Y8" s="117"/>
      <c r="Z8" s="119" t="s">
        <v>140</v>
      </c>
      <c r="AA8" s="116"/>
      <c r="AB8" s="117"/>
      <c r="AC8" s="119" t="s">
        <v>140</v>
      </c>
      <c r="AD8" s="116"/>
      <c r="AE8" s="117"/>
      <c r="AF8" s="119" t="s">
        <v>140</v>
      </c>
      <c r="AG8" s="116"/>
      <c r="AH8" s="117"/>
      <c r="AI8" s="119" t="s">
        <v>140</v>
      </c>
      <c r="AJ8" s="116"/>
      <c r="AK8" s="117"/>
      <c r="AL8" s="119" t="s">
        <v>140</v>
      </c>
      <c r="AM8" s="116"/>
      <c r="AN8" s="117"/>
      <c r="AO8" s="119" t="s">
        <v>140</v>
      </c>
      <c r="AP8" s="116"/>
      <c r="AQ8" s="117"/>
      <c r="AR8" s="119" t="s">
        <v>140</v>
      </c>
      <c r="AS8" s="116"/>
      <c r="AT8" s="117"/>
      <c r="AU8" s="119" t="s">
        <v>140</v>
      </c>
      <c r="AV8" s="116"/>
      <c r="AW8" s="117"/>
      <c r="AX8" s="119" t="s">
        <v>140</v>
      </c>
      <c r="AY8" s="116"/>
      <c r="AZ8" s="117"/>
      <c r="BA8" s="119" t="s">
        <v>140</v>
      </c>
      <c r="BB8" s="116"/>
      <c r="BC8" s="117"/>
      <c r="BD8" s="119" t="s">
        <v>140</v>
      </c>
      <c r="BE8" s="116"/>
      <c r="BF8" s="117"/>
      <c r="BG8" s="119" t="s">
        <v>140</v>
      </c>
      <c r="BH8" s="116"/>
      <c r="BI8" s="117"/>
      <c r="BJ8" s="119" t="s">
        <v>140</v>
      </c>
      <c r="BK8" s="116"/>
      <c r="BL8" s="117"/>
      <c r="BM8" s="119" t="s">
        <v>140</v>
      </c>
      <c r="BN8" s="116"/>
      <c r="BO8" s="117"/>
      <c r="BP8" s="119" t="s">
        <v>140</v>
      </c>
      <c r="BQ8" s="116"/>
      <c r="BR8" s="117"/>
      <c r="BS8" s="119" t="s">
        <v>140</v>
      </c>
      <c r="BT8" s="116"/>
      <c r="BU8" s="117"/>
      <c r="BV8" s="119" t="s">
        <v>140</v>
      </c>
      <c r="BW8" s="116"/>
      <c r="BX8" s="117"/>
      <c r="BY8" s="119" t="s">
        <v>140</v>
      </c>
      <c r="BZ8" s="116"/>
      <c r="CA8" s="117"/>
      <c r="CB8" s="119" t="s">
        <v>140</v>
      </c>
      <c r="CC8" s="116"/>
      <c r="CD8" s="117"/>
      <c r="CE8" s="119" t="s">
        <v>140</v>
      </c>
      <c r="CF8" s="116"/>
      <c r="CG8" s="117"/>
      <c r="CH8" s="119" t="s">
        <v>140</v>
      </c>
      <c r="CI8" s="116"/>
      <c r="CJ8" s="117"/>
      <c r="CK8" s="119" t="s">
        <v>140</v>
      </c>
      <c r="CL8" s="116"/>
      <c r="CM8" s="117"/>
      <c r="CN8" s="119" t="s">
        <v>140</v>
      </c>
      <c r="CO8" s="116"/>
      <c r="CP8" s="117"/>
      <c r="CQ8" s="119" t="s">
        <v>140</v>
      </c>
      <c r="CR8" s="116"/>
      <c r="CS8" s="117"/>
      <c r="CT8" s="119" t="s">
        <v>140</v>
      </c>
      <c r="CU8" s="116"/>
      <c r="CV8" s="117"/>
      <c r="CW8" s="119" t="s">
        <v>140</v>
      </c>
      <c r="CX8" s="116"/>
      <c r="CY8" s="117"/>
      <c r="CZ8" s="119" t="s">
        <v>140</v>
      </c>
      <c r="DA8" s="116"/>
      <c r="DB8" s="117"/>
      <c r="DC8" s="119" t="s">
        <v>140</v>
      </c>
      <c r="DD8" s="116"/>
      <c r="DE8" s="117"/>
      <c r="DF8" s="119" t="s">
        <v>140</v>
      </c>
      <c r="DG8" s="116"/>
      <c r="DH8" s="117"/>
      <c r="DI8" s="119" t="s">
        <v>140</v>
      </c>
      <c r="DJ8" s="116"/>
      <c r="DK8" s="117"/>
      <c r="DL8" s="119" t="s">
        <v>140</v>
      </c>
      <c r="DM8" s="116"/>
      <c r="DN8" s="117"/>
      <c r="DO8" s="119" t="s">
        <v>140</v>
      </c>
      <c r="DP8" s="116"/>
      <c r="DQ8" s="117"/>
      <c r="DR8" s="119" t="s">
        <v>140</v>
      </c>
      <c r="DS8" s="116"/>
      <c r="DT8" s="117"/>
      <c r="DU8" s="119" t="s">
        <v>140</v>
      </c>
      <c r="DV8" s="116"/>
      <c r="DW8" s="117"/>
      <c r="DX8" s="119" t="s">
        <v>140</v>
      </c>
      <c r="DY8" s="116"/>
      <c r="DZ8" s="117"/>
      <c r="EA8" s="119" t="s">
        <v>140</v>
      </c>
      <c r="EB8" s="116"/>
      <c r="EC8" s="117"/>
      <c r="ED8" s="119" t="s">
        <v>140</v>
      </c>
      <c r="EE8" s="116"/>
      <c r="EF8" s="117"/>
      <c r="EG8" s="119" t="s">
        <v>140</v>
      </c>
      <c r="EH8" s="116"/>
      <c r="EI8" s="117"/>
      <c r="EJ8" s="119" t="s">
        <v>140</v>
      </c>
      <c r="EK8" s="116"/>
      <c r="EL8" s="117"/>
      <c r="EM8" s="119" t="s">
        <v>140</v>
      </c>
      <c r="EN8" s="116"/>
      <c r="EO8" s="117"/>
      <c r="EP8" s="119" t="s">
        <v>140</v>
      </c>
      <c r="EQ8" s="116"/>
      <c r="ER8" s="117"/>
      <c r="ES8" s="119" t="s">
        <v>140</v>
      </c>
      <c r="ET8" s="116"/>
      <c r="EU8" s="3"/>
    </row>
    <row r="9" spans="1:151" ht="13.5" thickBot="1" x14ac:dyDescent="0.25">
      <c r="A9" s="3"/>
      <c r="B9" s="120" t="s">
        <v>141</v>
      </c>
      <c r="C9" s="121"/>
      <c r="D9" s="117"/>
      <c r="E9" s="120" t="s">
        <v>141</v>
      </c>
      <c r="F9" s="121"/>
      <c r="G9" s="117"/>
      <c r="H9" s="120" t="s">
        <v>141</v>
      </c>
      <c r="I9" s="121"/>
      <c r="J9" s="117"/>
      <c r="K9" s="120" t="s">
        <v>141</v>
      </c>
      <c r="L9" s="121"/>
      <c r="M9" s="117"/>
      <c r="N9" s="120" t="s">
        <v>141</v>
      </c>
      <c r="O9" s="121"/>
      <c r="P9" s="117"/>
      <c r="Q9" s="120" t="s">
        <v>141</v>
      </c>
      <c r="R9" s="121"/>
      <c r="S9" s="117"/>
      <c r="T9" s="120" t="s">
        <v>141</v>
      </c>
      <c r="U9" s="121"/>
      <c r="V9" s="117"/>
      <c r="W9" s="120" t="s">
        <v>141</v>
      </c>
      <c r="X9" s="121"/>
      <c r="Y9" s="117"/>
      <c r="Z9" s="120" t="s">
        <v>141</v>
      </c>
      <c r="AA9" s="121"/>
      <c r="AB9" s="117"/>
      <c r="AC9" s="120" t="s">
        <v>141</v>
      </c>
      <c r="AD9" s="121"/>
      <c r="AE9" s="117"/>
      <c r="AF9" s="120" t="s">
        <v>141</v>
      </c>
      <c r="AG9" s="121"/>
      <c r="AH9" s="117"/>
      <c r="AI9" s="120" t="s">
        <v>141</v>
      </c>
      <c r="AJ9" s="121"/>
      <c r="AK9" s="117"/>
      <c r="AL9" s="120" t="s">
        <v>141</v>
      </c>
      <c r="AM9" s="121"/>
      <c r="AN9" s="117"/>
      <c r="AO9" s="120" t="s">
        <v>141</v>
      </c>
      <c r="AP9" s="121"/>
      <c r="AQ9" s="117"/>
      <c r="AR9" s="120" t="s">
        <v>141</v>
      </c>
      <c r="AS9" s="121"/>
      <c r="AT9" s="117"/>
      <c r="AU9" s="120" t="s">
        <v>141</v>
      </c>
      <c r="AV9" s="121"/>
      <c r="AW9" s="117"/>
      <c r="AX9" s="120" t="s">
        <v>141</v>
      </c>
      <c r="AY9" s="121"/>
      <c r="AZ9" s="117"/>
      <c r="BA9" s="120" t="s">
        <v>141</v>
      </c>
      <c r="BB9" s="121"/>
      <c r="BC9" s="117"/>
      <c r="BD9" s="120" t="s">
        <v>141</v>
      </c>
      <c r="BE9" s="121"/>
      <c r="BF9" s="117"/>
      <c r="BG9" s="120" t="s">
        <v>141</v>
      </c>
      <c r="BH9" s="121"/>
      <c r="BI9" s="117"/>
      <c r="BJ9" s="120" t="s">
        <v>141</v>
      </c>
      <c r="BK9" s="121"/>
      <c r="BL9" s="117"/>
      <c r="BM9" s="120" t="s">
        <v>141</v>
      </c>
      <c r="BN9" s="121"/>
      <c r="BO9" s="117"/>
      <c r="BP9" s="120" t="s">
        <v>141</v>
      </c>
      <c r="BQ9" s="121"/>
      <c r="BR9" s="117"/>
      <c r="BS9" s="120" t="s">
        <v>141</v>
      </c>
      <c r="BT9" s="121"/>
      <c r="BU9" s="117"/>
      <c r="BV9" s="120" t="s">
        <v>141</v>
      </c>
      <c r="BW9" s="121"/>
      <c r="BX9" s="117"/>
      <c r="BY9" s="120" t="s">
        <v>141</v>
      </c>
      <c r="BZ9" s="121"/>
      <c r="CA9" s="117"/>
      <c r="CB9" s="120" t="s">
        <v>141</v>
      </c>
      <c r="CC9" s="121"/>
      <c r="CD9" s="117"/>
      <c r="CE9" s="120" t="s">
        <v>141</v>
      </c>
      <c r="CF9" s="121"/>
      <c r="CG9" s="117"/>
      <c r="CH9" s="120" t="s">
        <v>141</v>
      </c>
      <c r="CI9" s="121"/>
      <c r="CJ9" s="117"/>
      <c r="CK9" s="120" t="s">
        <v>141</v>
      </c>
      <c r="CL9" s="121"/>
      <c r="CM9" s="117"/>
      <c r="CN9" s="120" t="s">
        <v>141</v>
      </c>
      <c r="CO9" s="121"/>
      <c r="CP9" s="117"/>
      <c r="CQ9" s="120" t="s">
        <v>141</v>
      </c>
      <c r="CR9" s="121"/>
      <c r="CS9" s="117"/>
      <c r="CT9" s="120" t="s">
        <v>141</v>
      </c>
      <c r="CU9" s="121"/>
      <c r="CV9" s="117"/>
      <c r="CW9" s="120" t="s">
        <v>141</v>
      </c>
      <c r="CX9" s="121"/>
      <c r="CY9" s="117"/>
      <c r="CZ9" s="120" t="s">
        <v>141</v>
      </c>
      <c r="DA9" s="121"/>
      <c r="DB9" s="117"/>
      <c r="DC9" s="120" t="s">
        <v>141</v>
      </c>
      <c r="DD9" s="121"/>
      <c r="DE9" s="117"/>
      <c r="DF9" s="120" t="s">
        <v>141</v>
      </c>
      <c r="DG9" s="121"/>
      <c r="DH9" s="117"/>
      <c r="DI9" s="120" t="s">
        <v>141</v>
      </c>
      <c r="DJ9" s="121"/>
      <c r="DK9" s="117"/>
      <c r="DL9" s="120" t="s">
        <v>141</v>
      </c>
      <c r="DM9" s="121"/>
      <c r="DN9" s="117"/>
      <c r="DO9" s="120" t="s">
        <v>141</v>
      </c>
      <c r="DP9" s="121"/>
      <c r="DQ9" s="117"/>
      <c r="DR9" s="120" t="s">
        <v>141</v>
      </c>
      <c r="DS9" s="121"/>
      <c r="DT9" s="117"/>
      <c r="DU9" s="120" t="s">
        <v>141</v>
      </c>
      <c r="DV9" s="121"/>
      <c r="DW9" s="117"/>
      <c r="DX9" s="120" t="s">
        <v>141</v>
      </c>
      <c r="DY9" s="121"/>
      <c r="DZ9" s="117"/>
      <c r="EA9" s="120" t="s">
        <v>141</v>
      </c>
      <c r="EB9" s="121"/>
      <c r="EC9" s="117"/>
      <c r="ED9" s="120" t="s">
        <v>141</v>
      </c>
      <c r="EE9" s="121"/>
      <c r="EF9" s="117"/>
      <c r="EG9" s="120" t="s">
        <v>141</v>
      </c>
      <c r="EH9" s="121"/>
      <c r="EI9" s="117"/>
      <c r="EJ9" s="120" t="s">
        <v>141</v>
      </c>
      <c r="EK9" s="121"/>
      <c r="EL9" s="117"/>
      <c r="EM9" s="120" t="s">
        <v>141</v>
      </c>
      <c r="EN9" s="121"/>
      <c r="EO9" s="117"/>
      <c r="EP9" s="120" t="s">
        <v>141</v>
      </c>
      <c r="EQ9" s="121"/>
      <c r="ER9" s="117"/>
      <c r="ES9" s="120" t="s">
        <v>141</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7">
      <formula1>NameLabelRange</formula1>
    </dataValidation>
    <dataValidation type="list" allowBlank="1" sqref="I7">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A11" sqref="A11"/>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136</v>
      </c>
      <c r="D7" s="104" t="s">
        <v>178</v>
      </c>
      <c r="E7" s="42"/>
      <c r="F7" s="42"/>
      <c r="G7" s="49"/>
      <c r="H7" s="118" t="s">
        <v>136</v>
      </c>
      <c r="I7" s="104" t="s">
        <v>179</v>
      </c>
      <c r="J7" s="42"/>
      <c r="K7" s="42"/>
      <c r="L7" s="49"/>
      <c r="M7" s="118" t="s">
        <v>136</v>
      </c>
      <c r="N7" s="104" t="s">
        <v>180</v>
      </c>
      <c r="O7" s="42"/>
      <c r="P7" s="42"/>
      <c r="Q7" s="49"/>
      <c r="R7" s="118" t="s">
        <v>136</v>
      </c>
      <c r="S7" s="104" t="s">
        <v>181</v>
      </c>
      <c r="T7" s="42"/>
      <c r="U7" s="42"/>
      <c r="V7" s="49"/>
      <c r="W7" s="118" t="s">
        <v>136</v>
      </c>
      <c r="X7" s="104"/>
      <c r="Y7" s="42"/>
      <c r="Z7" s="42"/>
      <c r="AA7" s="49"/>
      <c r="AB7" s="118" t="s">
        <v>136</v>
      </c>
      <c r="AC7" s="104"/>
      <c r="AD7" s="42"/>
      <c r="AE7" s="42"/>
      <c r="AF7" s="49"/>
      <c r="AG7" s="118" t="s">
        <v>136</v>
      </c>
      <c r="AH7" s="104"/>
      <c r="AI7" s="42"/>
      <c r="AJ7" s="42"/>
      <c r="AK7" s="49"/>
      <c r="AL7" s="118" t="s">
        <v>136</v>
      </c>
      <c r="AM7" s="104"/>
      <c r="AN7" s="42"/>
      <c r="AO7" s="42"/>
      <c r="AP7" s="49"/>
      <c r="AQ7" s="118" t="s">
        <v>136</v>
      </c>
      <c r="AR7" s="104"/>
      <c r="AS7" s="42"/>
      <c r="AT7" s="42"/>
      <c r="AU7" s="49"/>
      <c r="AV7" s="118" t="s">
        <v>136</v>
      </c>
      <c r="AW7" s="104"/>
      <c r="AX7" s="42"/>
      <c r="AY7" s="42"/>
      <c r="AZ7" s="49"/>
      <c r="BA7" s="118" t="s">
        <v>136</v>
      </c>
      <c r="BB7" s="104"/>
      <c r="BC7" s="42"/>
      <c r="BD7" s="42"/>
      <c r="BE7" s="49"/>
      <c r="BF7" s="118" t="s">
        <v>136</v>
      </c>
      <c r="BG7" s="104"/>
      <c r="BH7" s="42"/>
      <c r="BI7" s="42"/>
      <c r="BJ7" s="49"/>
      <c r="BK7" s="118" t="s">
        <v>136</v>
      </c>
      <c r="BL7" s="104"/>
      <c r="BM7" s="42"/>
      <c r="BN7" s="42"/>
      <c r="BO7" s="49"/>
      <c r="BP7" s="118" t="s">
        <v>136</v>
      </c>
      <c r="BQ7" s="104"/>
      <c r="BR7" s="42"/>
      <c r="BS7" s="42"/>
      <c r="BT7" s="49"/>
      <c r="BU7" s="118" t="s">
        <v>136</v>
      </c>
      <c r="BV7" s="104"/>
      <c r="BW7" s="42"/>
      <c r="BX7" s="42"/>
      <c r="BY7" s="49"/>
      <c r="BZ7" s="118" t="s">
        <v>136</v>
      </c>
      <c r="CA7" s="104"/>
      <c r="CB7" s="42"/>
      <c r="CC7" s="42"/>
      <c r="CD7" s="49"/>
      <c r="CE7" s="118" t="s">
        <v>136</v>
      </c>
      <c r="CF7" s="104"/>
      <c r="CG7" s="42"/>
      <c r="CH7" s="42"/>
      <c r="CI7" s="49"/>
      <c r="CJ7" s="118" t="s">
        <v>136</v>
      </c>
      <c r="CK7" s="104"/>
      <c r="CL7" s="42"/>
      <c r="CM7" s="42"/>
      <c r="CN7" s="49"/>
      <c r="CO7" s="118" t="s">
        <v>136</v>
      </c>
      <c r="CP7" s="104"/>
      <c r="CQ7" s="42"/>
      <c r="CR7" s="42"/>
      <c r="CS7" s="49"/>
      <c r="CT7" s="118" t="s">
        <v>136</v>
      </c>
      <c r="CU7" s="104"/>
      <c r="CV7" s="42"/>
      <c r="CW7" s="42"/>
      <c r="CX7" s="49"/>
      <c r="CY7" s="118" t="s">
        <v>136</v>
      </c>
      <c r="CZ7" s="104"/>
      <c r="DA7" s="42"/>
      <c r="DB7" s="42"/>
      <c r="DC7" s="49"/>
      <c r="DD7" s="118" t="s">
        <v>136</v>
      </c>
      <c r="DE7" s="104"/>
      <c r="DF7" s="42"/>
      <c r="DG7" s="42"/>
      <c r="DH7" s="49"/>
      <c r="DI7" s="118" t="s">
        <v>136</v>
      </c>
      <c r="DJ7" s="104"/>
      <c r="DK7" s="42"/>
      <c r="DL7" s="42"/>
      <c r="DM7" s="49"/>
      <c r="DN7" s="118" t="s">
        <v>136</v>
      </c>
      <c r="DO7" s="104"/>
      <c r="DP7" s="42"/>
      <c r="DQ7" s="42"/>
      <c r="DR7" s="49"/>
      <c r="DS7" s="118" t="s">
        <v>136</v>
      </c>
      <c r="DT7" s="104"/>
      <c r="DU7" s="42"/>
      <c r="DV7" s="42"/>
      <c r="DW7" s="49"/>
      <c r="DX7" s="118" t="s">
        <v>136</v>
      </c>
      <c r="DY7" s="104"/>
      <c r="DZ7" s="42"/>
      <c r="EA7" s="42"/>
      <c r="EB7" s="49"/>
      <c r="EC7" s="118" t="s">
        <v>136</v>
      </c>
      <c r="ED7" s="104"/>
      <c r="EE7" s="42"/>
      <c r="EF7" s="42"/>
      <c r="EG7" s="49"/>
      <c r="EH7" s="118" t="s">
        <v>136</v>
      </c>
      <c r="EI7" s="104"/>
      <c r="EJ7" s="42"/>
      <c r="EK7" s="42"/>
      <c r="EL7" s="49"/>
      <c r="EM7" s="118" t="s">
        <v>136</v>
      </c>
      <c r="EN7" s="104"/>
      <c r="EO7" s="42"/>
      <c r="EP7" s="42"/>
      <c r="EQ7" s="49"/>
      <c r="ER7" s="118" t="s">
        <v>136</v>
      </c>
      <c r="ES7" s="104"/>
      <c r="ET7" s="42"/>
      <c r="EU7" s="42"/>
      <c r="EV7" s="49"/>
      <c r="EW7" s="118" t="s">
        <v>136</v>
      </c>
      <c r="EX7" s="104"/>
      <c r="EY7" s="42"/>
      <c r="EZ7" s="42"/>
      <c r="FA7" s="49"/>
      <c r="FB7" s="118" t="s">
        <v>136</v>
      </c>
      <c r="FC7" s="104"/>
      <c r="FD7" s="42"/>
      <c r="FE7" s="42"/>
      <c r="FF7" s="49"/>
      <c r="FG7" s="118" t="s">
        <v>136</v>
      </c>
      <c r="FH7" s="104"/>
      <c r="FI7" s="42"/>
      <c r="FJ7" s="42"/>
      <c r="FK7" s="49"/>
      <c r="FL7" s="118" t="s">
        <v>136</v>
      </c>
      <c r="FM7" s="104"/>
      <c r="FN7" s="42"/>
      <c r="FO7" s="42"/>
      <c r="FP7" s="49"/>
      <c r="FQ7" s="118" t="s">
        <v>136</v>
      </c>
      <c r="FR7" s="104"/>
      <c r="FS7" s="42"/>
      <c r="FT7" s="42"/>
      <c r="FU7" s="49"/>
      <c r="FV7" s="118" t="s">
        <v>136</v>
      </c>
      <c r="FW7" s="104"/>
      <c r="FX7" s="42"/>
      <c r="FY7" s="42"/>
      <c r="FZ7" s="49"/>
      <c r="GA7" s="118" t="s">
        <v>136</v>
      </c>
      <c r="GB7" s="104"/>
      <c r="GC7" s="42"/>
      <c r="GD7" s="42"/>
      <c r="GE7" s="49"/>
      <c r="GF7" s="118" t="s">
        <v>136</v>
      </c>
      <c r="GG7" s="104"/>
      <c r="GH7" s="42"/>
      <c r="GI7" s="42"/>
      <c r="GJ7" s="49"/>
      <c r="GK7" s="118" t="s">
        <v>136</v>
      </c>
      <c r="GL7" s="104"/>
      <c r="GM7" s="42"/>
      <c r="GN7" s="42"/>
      <c r="GO7" s="49"/>
      <c r="GP7" s="118" t="s">
        <v>136</v>
      </c>
      <c r="GQ7" s="104"/>
      <c r="GR7" s="42"/>
      <c r="GS7" s="42"/>
      <c r="GT7" s="49"/>
      <c r="GU7" s="118" t="s">
        <v>136</v>
      </c>
      <c r="GV7" s="104"/>
      <c r="GW7" s="42"/>
      <c r="GX7" s="42"/>
      <c r="GY7" s="49"/>
      <c r="GZ7" s="118" t="s">
        <v>136</v>
      </c>
      <c r="HA7" s="104"/>
      <c r="HB7" s="42"/>
      <c r="HC7" s="42"/>
      <c r="HD7" s="49"/>
      <c r="HE7" s="118" t="s">
        <v>136</v>
      </c>
      <c r="HF7" s="104"/>
      <c r="HG7" s="42"/>
      <c r="HH7" s="42"/>
      <c r="HI7" s="49"/>
      <c r="HJ7" s="118" t="s">
        <v>136</v>
      </c>
      <c r="HK7" s="104"/>
      <c r="HL7" s="42"/>
      <c r="HM7" s="42"/>
      <c r="HN7" s="49"/>
      <c r="HO7" s="118" t="s">
        <v>136</v>
      </c>
      <c r="HP7" s="104"/>
      <c r="HQ7" s="42"/>
      <c r="HR7" s="42"/>
      <c r="HS7" s="49"/>
      <c r="HT7" s="118" t="s">
        <v>136</v>
      </c>
      <c r="HU7" s="104"/>
      <c r="HV7" s="42"/>
      <c r="HW7" s="42"/>
      <c r="HX7" s="49"/>
      <c r="HY7" s="118" t="s">
        <v>136</v>
      </c>
      <c r="HZ7" s="104"/>
      <c r="IA7" s="42"/>
      <c r="IB7" s="42"/>
      <c r="IC7" s="49"/>
      <c r="ID7" s="118" t="s">
        <v>136</v>
      </c>
      <c r="IE7" s="104"/>
      <c r="IF7" s="42"/>
      <c r="IG7" s="42"/>
      <c r="IH7" s="49"/>
      <c r="II7" s="118" t="s">
        <v>136</v>
      </c>
      <c r="IJ7" s="104"/>
      <c r="IK7" s="42"/>
      <c r="IL7" s="42"/>
      <c r="IM7" s="49"/>
      <c r="IN7" s="118" t="s">
        <v>136</v>
      </c>
      <c r="IO7" s="104"/>
      <c r="IP7" s="42"/>
      <c r="IQ7" s="42"/>
    </row>
    <row r="8" spans="1:251" ht="13.5" thickBot="1" x14ac:dyDescent="0.25">
      <c r="A8" s="42"/>
      <c r="B8" s="42"/>
      <c r="C8" s="159" t="s">
        <v>142</v>
      </c>
      <c r="D8" s="116"/>
      <c r="E8" s="42"/>
      <c r="F8" s="42"/>
      <c r="G8" s="42"/>
      <c r="H8" s="159" t="s">
        <v>142</v>
      </c>
      <c r="I8" s="116"/>
      <c r="J8" s="42"/>
      <c r="K8" s="42"/>
      <c r="L8" s="42"/>
      <c r="M8" s="159" t="s">
        <v>142</v>
      </c>
      <c r="N8" s="116"/>
      <c r="O8" s="42"/>
      <c r="P8" s="42"/>
      <c r="Q8" s="42"/>
      <c r="R8" s="159" t="s">
        <v>142</v>
      </c>
      <c r="S8" s="116"/>
      <c r="T8" s="42"/>
      <c r="U8" s="42"/>
      <c r="V8" s="42"/>
      <c r="W8" s="159" t="s">
        <v>142</v>
      </c>
      <c r="X8" s="116"/>
      <c r="Y8" s="42"/>
      <c r="Z8" s="42"/>
      <c r="AA8" s="42"/>
      <c r="AB8" s="159" t="s">
        <v>142</v>
      </c>
      <c r="AC8" s="116"/>
      <c r="AD8" s="42"/>
      <c r="AE8" s="42"/>
      <c r="AF8" s="42"/>
      <c r="AG8" s="159" t="s">
        <v>142</v>
      </c>
      <c r="AH8" s="116"/>
      <c r="AI8" s="42"/>
      <c r="AJ8" s="42"/>
      <c r="AK8" s="42"/>
      <c r="AL8" s="159" t="s">
        <v>142</v>
      </c>
      <c r="AM8" s="116"/>
      <c r="AN8" s="42"/>
      <c r="AO8" s="42"/>
      <c r="AP8" s="42"/>
      <c r="AQ8" s="159" t="s">
        <v>142</v>
      </c>
      <c r="AR8" s="116"/>
      <c r="AS8" s="42"/>
      <c r="AT8" s="42"/>
      <c r="AU8" s="42"/>
      <c r="AV8" s="159" t="s">
        <v>142</v>
      </c>
      <c r="AW8" s="116"/>
      <c r="AX8" s="42"/>
      <c r="AY8" s="42"/>
      <c r="AZ8" s="42"/>
      <c r="BA8" s="159" t="s">
        <v>142</v>
      </c>
      <c r="BB8" s="116"/>
      <c r="BC8" s="42"/>
      <c r="BD8" s="42"/>
      <c r="BE8" s="42"/>
      <c r="BF8" s="159" t="s">
        <v>142</v>
      </c>
      <c r="BG8" s="116"/>
      <c r="BH8" s="42"/>
      <c r="BI8" s="42"/>
      <c r="BJ8" s="42"/>
      <c r="BK8" s="159" t="s">
        <v>142</v>
      </c>
      <c r="BL8" s="116"/>
      <c r="BM8" s="42"/>
      <c r="BN8" s="42"/>
      <c r="BO8" s="42"/>
      <c r="BP8" s="159" t="s">
        <v>142</v>
      </c>
      <c r="BQ8" s="116"/>
      <c r="BR8" s="42"/>
      <c r="BS8" s="42"/>
      <c r="BT8" s="42"/>
      <c r="BU8" s="159" t="s">
        <v>142</v>
      </c>
      <c r="BV8" s="116"/>
      <c r="BW8" s="42"/>
      <c r="BX8" s="42"/>
      <c r="BY8" s="42"/>
      <c r="BZ8" s="159" t="s">
        <v>142</v>
      </c>
      <c r="CA8" s="116"/>
      <c r="CB8" s="42"/>
      <c r="CC8" s="42"/>
      <c r="CD8" s="42"/>
      <c r="CE8" s="159" t="s">
        <v>142</v>
      </c>
      <c r="CF8" s="116"/>
      <c r="CG8" s="42"/>
      <c r="CH8" s="42"/>
      <c r="CI8" s="42"/>
      <c r="CJ8" s="159" t="s">
        <v>142</v>
      </c>
      <c r="CK8" s="116"/>
      <c r="CL8" s="42"/>
      <c r="CM8" s="42"/>
      <c r="CN8" s="42"/>
      <c r="CO8" s="159" t="s">
        <v>142</v>
      </c>
      <c r="CP8" s="116"/>
      <c r="CQ8" s="42"/>
      <c r="CR8" s="42"/>
      <c r="CS8" s="42"/>
      <c r="CT8" s="159" t="s">
        <v>142</v>
      </c>
      <c r="CU8" s="116"/>
      <c r="CV8" s="42"/>
      <c r="CW8" s="42"/>
      <c r="CX8" s="42"/>
      <c r="CY8" s="159" t="s">
        <v>142</v>
      </c>
      <c r="CZ8" s="116"/>
      <c r="DA8" s="42"/>
      <c r="DB8" s="42"/>
      <c r="DC8" s="42"/>
      <c r="DD8" s="159" t="s">
        <v>142</v>
      </c>
      <c r="DE8" s="116"/>
      <c r="DF8" s="42"/>
      <c r="DG8" s="42"/>
      <c r="DH8" s="42"/>
      <c r="DI8" s="159" t="s">
        <v>142</v>
      </c>
      <c r="DJ8" s="116"/>
      <c r="DK8" s="42"/>
      <c r="DL8" s="42"/>
      <c r="DM8" s="42"/>
      <c r="DN8" s="159" t="s">
        <v>142</v>
      </c>
      <c r="DO8" s="116"/>
      <c r="DP8" s="42"/>
      <c r="DQ8" s="42"/>
      <c r="DR8" s="42"/>
      <c r="DS8" s="159" t="s">
        <v>142</v>
      </c>
      <c r="DT8" s="116"/>
      <c r="DU8" s="42"/>
      <c r="DV8" s="42"/>
      <c r="DW8" s="42"/>
      <c r="DX8" s="159" t="s">
        <v>142</v>
      </c>
      <c r="DY8" s="116"/>
      <c r="DZ8" s="42"/>
      <c r="EA8" s="42"/>
      <c r="EB8" s="42"/>
      <c r="EC8" s="159" t="s">
        <v>142</v>
      </c>
      <c r="ED8" s="116"/>
      <c r="EE8" s="42"/>
      <c r="EF8" s="42"/>
      <c r="EG8" s="42"/>
      <c r="EH8" s="159" t="s">
        <v>142</v>
      </c>
      <c r="EI8" s="116"/>
      <c r="EJ8" s="42"/>
      <c r="EK8" s="42"/>
      <c r="EL8" s="42"/>
      <c r="EM8" s="159" t="s">
        <v>142</v>
      </c>
      <c r="EN8" s="116"/>
      <c r="EO8" s="42"/>
      <c r="EP8" s="42"/>
      <c r="EQ8" s="42"/>
      <c r="ER8" s="159" t="s">
        <v>142</v>
      </c>
      <c r="ES8" s="116"/>
      <c r="ET8" s="42"/>
      <c r="EU8" s="42"/>
      <c r="EV8" s="42"/>
      <c r="EW8" s="159" t="s">
        <v>142</v>
      </c>
      <c r="EX8" s="116"/>
      <c r="EY8" s="42"/>
      <c r="EZ8" s="42"/>
      <c r="FA8" s="42"/>
      <c r="FB8" s="159" t="s">
        <v>142</v>
      </c>
      <c r="FC8" s="116"/>
      <c r="FD8" s="42"/>
      <c r="FE8" s="42"/>
      <c r="FF8" s="42"/>
      <c r="FG8" s="159" t="s">
        <v>142</v>
      </c>
      <c r="FH8" s="116"/>
      <c r="FI8" s="42"/>
      <c r="FJ8" s="42"/>
      <c r="FK8" s="42"/>
      <c r="FL8" s="159" t="s">
        <v>142</v>
      </c>
      <c r="FM8" s="116"/>
      <c r="FN8" s="42"/>
      <c r="FO8" s="42"/>
      <c r="FP8" s="42"/>
      <c r="FQ8" s="159" t="s">
        <v>142</v>
      </c>
      <c r="FR8" s="116"/>
      <c r="FS8" s="42"/>
      <c r="FT8" s="42"/>
      <c r="FU8" s="42"/>
      <c r="FV8" s="159" t="s">
        <v>142</v>
      </c>
      <c r="FW8" s="116"/>
      <c r="FX8" s="42"/>
      <c r="FY8" s="42"/>
      <c r="FZ8" s="42"/>
      <c r="GA8" s="159" t="s">
        <v>142</v>
      </c>
      <c r="GB8" s="116"/>
      <c r="GC8" s="42"/>
      <c r="GD8" s="42"/>
      <c r="GE8" s="42"/>
      <c r="GF8" s="159" t="s">
        <v>142</v>
      </c>
      <c r="GG8" s="116"/>
      <c r="GH8" s="42"/>
      <c r="GI8" s="42"/>
      <c r="GJ8" s="42"/>
      <c r="GK8" s="159" t="s">
        <v>142</v>
      </c>
      <c r="GL8" s="116"/>
      <c r="GM8" s="42"/>
      <c r="GN8" s="42"/>
      <c r="GO8" s="42"/>
      <c r="GP8" s="159" t="s">
        <v>142</v>
      </c>
      <c r="GQ8" s="116"/>
      <c r="GR8" s="42"/>
      <c r="GS8" s="42"/>
      <c r="GT8" s="42"/>
      <c r="GU8" s="159" t="s">
        <v>142</v>
      </c>
      <c r="GV8" s="116"/>
      <c r="GW8" s="42"/>
      <c r="GX8" s="42"/>
      <c r="GY8" s="42"/>
      <c r="GZ8" s="159" t="s">
        <v>142</v>
      </c>
      <c r="HA8" s="116"/>
      <c r="HB8" s="42"/>
      <c r="HC8" s="42"/>
      <c r="HD8" s="42"/>
      <c r="HE8" s="159" t="s">
        <v>142</v>
      </c>
      <c r="HF8" s="116"/>
      <c r="HG8" s="42"/>
      <c r="HH8" s="42"/>
      <c r="HI8" s="42"/>
      <c r="HJ8" s="159" t="s">
        <v>142</v>
      </c>
      <c r="HK8" s="116"/>
      <c r="HL8" s="42"/>
      <c r="HM8" s="42"/>
      <c r="HN8" s="42"/>
      <c r="HO8" s="159" t="s">
        <v>142</v>
      </c>
      <c r="HP8" s="116"/>
      <c r="HQ8" s="42"/>
      <c r="HR8" s="42"/>
      <c r="HS8" s="42"/>
      <c r="HT8" s="159" t="s">
        <v>142</v>
      </c>
      <c r="HU8" s="116"/>
      <c r="HV8" s="42"/>
      <c r="HW8" s="42"/>
      <c r="HX8" s="42"/>
      <c r="HY8" s="159" t="s">
        <v>142</v>
      </c>
      <c r="HZ8" s="116"/>
      <c r="IA8" s="42"/>
      <c r="IB8" s="42"/>
      <c r="IC8" s="42"/>
      <c r="ID8" s="159" t="s">
        <v>142</v>
      </c>
      <c r="IE8" s="116"/>
      <c r="IF8" s="42"/>
      <c r="IG8" s="42"/>
      <c r="IH8" s="42"/>
      <c r="II8" s="159" t="s">
        <v>142</v>
      </c>
      <c r="IJ8" s="116"/>
      <c r="IK8" s="42"/>
      <c r="IL8" s="42"/>
      <c r="IM8" s="42"/>
      <c r="IN8" s="159" t="s">
        <v>142</v>
      </c>
      <c r="IO8" s="116"/>
      <c r="IP8" s="42"/>
      <c r="IQ8" s="42"/>
    </row>
    <row r="9" spans="1:251" x14ac:dyDescent="0.2">
      <c r="A9" s="42"/>
      <c r="B9" s="39" t="s">
        <v>10</v>
      </c>
      <c r="C9" s="6" t="s">
        <v>17</v>
      </c>
      <c r="D9" s="152" t="s">
        <v>18</v>
      </c>
      <c r="E9" s="39" t="s">
        <v>18</v>
      </c>
      <c r="F9" s="42"/>
      <c r="G9" s="39" t="s">
        <v>10</v>
      </c>
      <c r="H9" s="6" t="s">
        <v>17</v>
      </c>
      <c r="I9" s="152" t="s">
        <v>18</v>
      </c>
      <c r="J9" s="39" t="s">
        <v>18</v>
      </c>
      <c r="K9" s="42"/>
      <c r="L9" s="39" t="s">
        <v>10</v>
      </c>
      <c r="M9" s="6" t="s">
        <v>17</v>
      </c>
      <c r="N9" s="152" t="s">
        <v>18</v>
      </c>
      <c r="O9" s="39" t="s">
        <v>18</v>
      </c>
      <c r="P9" s="42"/>
      <c r="Q9" s="39" t="s">
        <v>10</v>
      </c>
      <c r="R9" s="6" t="s">
        <v>17</v>
      </c>
      <c r="S9" s="152" t="s">
        <v>18</v>
      </c>
      <c r="T9" s="39" t="s">
        <v>18</v>
      </c>
      <c r="U9" s="42"/>
      <c r="V9" s="39" t="s">
        <v>10</v>
      </c>
      <c r="W9" s="6" t="s">
        <v>17</v>
      </c>
      <c r="X9" s="152" t="s">
        <v>18</v>
      </c>
      <c r="Y9" s="39" t="s">
        <v>18</v>
      </c>
      <c r="Z9" s="42"/>
      <c r="AA9" s="39" t="s">
        <v>10</v>
      </c>
      <c r="AB9" s="6" t="s">
        <v>17</v>
      </c>
      <c r="AC9" s="152" t="s">
        <v>18</v>
      </c>
      <c r="AD9" s="39" t="s">
        <v>18</v>
      </c>
      <c r="AE9" s="42"/>
      <c r="AF9" s="39" t="s">
        <v>10</v>
      </c>
      <c r="AG9" s="6" t="s">
        <v>17</v>
      </c>
      <c r="AH9" s="152" t="s">
        <v>18</v>
      </c>
      <c r="AI9" s="39" t="s">
        <v>18</v>
      </c>
      <c r="AJ9" s="42"/>
      <c r="AK9" s="39" t="s">
        <v>10</v>
      </c>
      <c r="AL9" s="6" t="s">
        <v>17</v>
      </c>
      <c r="AM9" s="152" t="s">
        <v>18</v>
      </c>
      <c r="AN9" s="39" t="s">
        <v>18</v>
      </c>
      <c r="AO9" s="42"/>
      <c r="AP9" s="39" t="s">
        <v>10</v>
      </c>
      <c r="AQ9" s="6" t="s">
        <v>17</v>
      </c>
      <c r="AR9" s="152" t="s">
        <v>18</v>
      </c>
      <c r="AS9" s="39" t="s">
        <v>18</v>
      </c>
      <c r="AT9" s="42"/>
      <c r="AU9" s="39" t="s">
        <v>10</v>
      </c>
      <c r="AV9" s="6" t="s">
        <v>17</v>
      </c>
      <c r="AW9" s="152" t="s">
        <v>18</v>
      </c>
      <c r="AX9" s="39" t="s">
        <v>18</v>
      </c>
      <c r="AY9" s="42"/>
      <c r="AZ9" s="39" t="s">
        <v>10</v>
      </c>
      <c r="BA9" s="6" t="s">
        <v>17</v>
      </c>
      <c r="BB9" s="152" t="s">
        <v>18</v>
      </c>
      <c r="BC9" s="39" t="s">
        <v>18</v>
      </c>
      <c r="BD9" s="42"/>
      <c r="BE9" s="39" t="s">
        <v>10</v>
      </c>
      <c r="BF9" s="6" t="s">
        <v>17</v>
      </c>
      <c r="BG9" s="152" t="s">
        <v>18</v>
      </c>
      <c r="BH9" s="39" t="s">
        <v>18</v>
      </c>
      <c r="BI9" s="42"/>
      <c r="BJ9" s="39" t="s">
        <v>10</v>
      </c>
      <c r="BK9" s="6" t="s">
        <v>17</v>
      </c>
      <c r="BL9" s="152" t="s">
        <v>18</v>
      </c>
      <c r="BM9" s="39" t="s">
        <v>18</v>
      </c>
      <c r="BN9" s="42"/>
      <c r="BO9" s="39" t="s">
        <v>10</v>
      </c>
      <c r="BP9" s="6" t="s">
        <v>17</v>
      </c>
      <c r="BQ9" s="152" t="s">
        <v>18</v>
      </c>
      <c r="BR9" s="39" t="s">
        <v>18</v>
      </c>
      <c r="BS9" s="42"/>
      <c r="BT9" s="39" t="s">
        <v>10</v>
      </c>
      <c r="BU9" s="6" t="s">
        <v>17</v>
      </c>
      <c r="BV9" s="152" t="s">
        <v>18</v>
      </c>
      <c r="BW9" s="39" t="s">
        <v>18</v>
      </c>
      <c r="BX9" s="42"/>
      <c r="BY9" s="39" t="s">
        <v>10</v>
      </c>
      <c r="BZ9" s="6" t="s">
        <v>17</v>
      </c>
      <c r="CA9" s="152" t="s">
        <v>18</v>
      </c>
      <c r="CB9" s="39" t="s">
        <v>18</v>
      </c>
      <c r="CC9" s="42"/>
      <c r="CD9" s="39" t="s">
        <v>10</v>
      </c>
      <c r="CE9" s="6" t="s">
        <v>17</v>
      </c>
      <c r="CF9" s="152" t="s">
        <v>18</v>
      </c>
      <c r="CG9" s="39" t="s">
        <v>18</v>
      </c>
      <c r="CH9" s="42"/>
      <c r="CI9" s="39" t="s">
        <v>10</v>
      </c>
      <c r="CJ9" s="6" t="s">
        <v>17</v>
      </c>
      <c r="CK9" s="152" t="s">
        <v>18</v>
      </c>
      <c r="CL9" s="39" t="s">
        <v>18</v>
      </c>
      <c r="CM9" s="42"/>
      <c r="CN9" s="39" t="s">
        <v>10</v>
      </c>
      <c r="CO9" s="6" t="s">
        <v>17</v>
      </c>
      <c r="CP9" s="152" t="s">
        <v>18</v>
      </c>
      <c r="CQ9" s="39" t="s">
        <v>18</v>
      </c>
      <c r="CR9" s="42"/>
      <c r="CS9" s="39" t="s">
        <v>10</v>
      </c>
      <c r="CT9" s="6" t="s">
        <v>17</v>
      </c>
      <c r="CU9" s="152" t="s">
        <v>18</v>
      </c>
      <c r="CV9" s="39" t="s">
        <v>18</v>
      </c>
      <c r="CW9" s="42"/>
      <c r="CX9" s="39" t="s">
        <v>10</v>
      </c>
      <c r="CY9" s="6" t="s">
        <v>17</v>
      </c>
      <c r="CZ9" s="152" t="s">
        <v>18</v>
      </c>
      <c r="DA9" s="39" t="s">
        <v>18</v>
      </c>
      <c r="DB9" s="42"/>
      <c r="DC9" s="39" t="s">
        <v>10</v>
      </c>
      <c r="DD9" s="6" t="s">
        <v>17</v>
      </c>
      <c r="DE9" s="152" t="s">
        <v>18</v>
      </c>
      <c r="DF9" s="39" t="s">
        <v>18</v>
      </c>
      <c r="DG9" s="42"/>
      <c r="DH9" s="39" t="s">
        <v>10</v>
      </c>
      <c r="DI9" s="6" t="s">
        <v>17</v>
      </c>
      <c r="DJ9" s="152" t="s">
        <v>18</v>
      </c>
      <c r="DK9" s="39" t="s">
        <v>18</v>
      </c>
      <c r="DL9" s="42"/>
      <c r="DM9" s="39" t="s">
        <v>10</v>
      </c>
      <c r="DN9" s="6" t="s">
        <v>17</v>
      </c>
      <c r="DO9" s="152" t="s">
        <v>18</v>
      </c>
      <c r="DP9" s="39" t="s">
        <v>18</v>
      </c>
      <c r="DQ9" s="42"/>
      <c r="DR9" s="39" t="s">
        <v>10</v>
      </c>
      <c r="DS9" s="6" t="s">
        <v>17</v>
      </c>
      <c r="DT9" s="152" t="s">
        <v>18</v>
      </c>
      <c r="DU9" s="39" t="s">
        <v>18</v>
      </c>
      <c r="DV9" s="42"/>
      <c r="DW9" s="39" t="s">
        <v>10</v>
      </c>
      <c r="DX9" s="6" t="s">
        <v>17</v>
      </c>
      <c r="DY9" s="152" t="s">
        <v>18</v>
      </c>
      <c r="DZ9" s="39" t="s">
        <v>18</v>
      </c>
      <c r="EA9" s="42"/>
      <c r="EB9" s="39" t="s">
        <v>10</v>
      </c>
      <c r="EC9" s="6" t="s">
        <v>17</v>
      </c>
      <c r="ED9" s="152" t="s">
        <v>18</v>
      </c>
      <c r="EE9" s="39" t="s">
        <v>18</v>
      </c>
      <c r="EF9" s="42"/>
      <c r="EG9" s="39" t="s">
        <v>10</v>
      </c>
      <c r="EH9" s="6" t="s">
        <v>17</v>
      </c>
      <c r="EI9" s="152" t="s">
        <v>18</v>
      </c>
      <c r="EJ9" s="39" t="s">
        <v>18</v>
      </c>
      <c r="EK9" s="42"/>
      <c r="EL9" s="39" t="s">
        <v>10</v>
      </c>
      <c r="EM9" s="6" t="s">
        <v>17</v>
      </c>
      <c r="EN9" s="152" t="s">
        <v>18</v>
      </c>
      <c r="EO9" s="39" t="s">
        <v>18</v>
      </c>
      <c r="EP9" s="42"/>
      <c r="EQ9" s="39" t="s">
        <v>10</v>
      </c>
      <c r="ER9" s="6" t="s">
        <v>17</v>
      </c>
      <c r="ES9" s="152" t="s">
        <v>18</v>
      </c>
      <c r="ET9" s="39" t="s">
        <v>18</v>
      </c>
      <c r="EU9" s="42"/>
      <c r="EV9" s="39" t="s">
        <v>10</v>
      </c>
      <c r="EW9" s="6" t="s">
        <v>17</v>
      </c>
      <c r="EX9" s="152" t="s">
        <v>18</v>
      </c>
      <c r="EY9" s="39" t="s">
        <v>18</v>
      </c>
      <c r="EZ9" s="42"/>
      <c r="FA9" s="39" t="s">
        <v>10</v>
      </c>
      <c r="FB9" s="6" t="s">
        <v>17</v>
      </c>
      <c r="FC9" s="152" t="s">
        <v>18</v>
      </c>
      <c r="FD9" s="39" t="s">
        <v>18</v>
      </c>
      <c r="FE9" s="42"/>
      <c r="FF9" s="39" t="s">
        <v>10</v>
      </c>
      <c r="FG9" s="6" t="s">
        <v>17</v>
      </c>
      <c r="FH9" s="152" t="s">
        <v>18</v>
      </c>
      <c r="FI9" s="39" t="s">
        <v>18</v>
      </c>
      <c r="FJ9" s="42"/>
      <c r="FK9" s="39" t="s">
        <v>10</v>
      </c>
      <c r="FL9" s="6" t="s">
        <v>17</v>
      </c>
      <c r="FM9" s="152" t="s">
        <v>18</v>
      </c>
      <c r="FN9" s="39" t="s">
        <v>18</v>
      </c>
      <c r="FO9" s="42"/>
      <c r="FP9" s="39" t="s">
        <v>10</v>
      </c>
      <c r="FQ9" s="6" t="s">
        <v>17</v>
      </c>
      <c r="FR9" s="152" t="s">
        <v>18</v>
      </c>
      <c r="FS9" s="39" t="s">
        <v>18</v>
      </c>
      <c r="FT9" s="42"/>
      <c r="FU9" s="39" t="s">
        <v>10</v>
      </c>
      <c r="FV9" s="6" t="s">
        <v>17</v>
      </c>
      <c r="FW9" s="152" t="s">
        <v>18</v>
      </c>
      <c r="FX9" s="39" t="s">
        <v>18</v>
      </c>
      <c r="FY9" s="42"/>
      <c r="FZ9" s="39" t="s">
        <v>10</v>
      </c>
      <c r="GA9" s="6" t="s">
        <v>17</v>
      </c>
      <c r="GB9" s="152" t="s">
        <v>18</v>
      </c>
      <c r="GC9" s="39" t="s">
        <v>18</v>
      </c>
      <c r="GD9" s="42"/>
      <c r="GE9" s="39" t="s">
        <v>10</v>
      </c>
      <c r="GF9" s="6" t="s">
        <v>17</v>
      </c>
      <c r="GG9" s="152" t="s">
        <v>18</v>
      </c>
      <c r="GH9" s="39" t="s">
        <v>18</v>
      </c>
      <c r="GI9" s="42"/>
      <c r="GJ9" s="39" t="s">
        <v>10</v>
      </c>
      <c r="GK9" s="6" t="s">
        <v>17</v>
      </c>
      <c r="GL9" s="152" t="s">
        <v>18</v>
      </c>
      <c r="GM9" s="39" t="s">
        <v>18</v>
      </c>
      <c r="GN9" s="42"/>
      <c r="GO9" s="39" t="s">
        <v>10</v>
      </c>
      <c r="GP9" s="6" t="s">
        <v>17</v>
      </c>
      <c r="GQ9" s="152" t="s">
        <v>18</v>
      </c>
      <c r="GR9" s="39" t="s">
        <v>18</v>
      </c>
      <c r="GS9" s="42"/>
      <c r="GT9" s="39" t="s">
        <v>10</v>
      </c>
      <c r="GU9" s="6" t="s">
        <v>17</v>
      </c>
      <c r="GV9" s="152" t="s">
        <v>18</v>
      </c>
      <c r="GW9" s="39" t="s">
        <v>18</v>
      </c>
      <c r="GX9" s="42"/>
      <c r="GY9" s="39" t="s">
        <v>10</v>
      </c>
      <c r="GZ9" s="6" t="s">
        <v>17</v>
      </c>
      <c r="HA9" s="152" t="s">
        <v>18</v>
      </c>
      <c r="HB9" s="39" t="s">
        <v>18</v>
      </c>
      <c r="HC9" s="42"/>
      <c r="HD9" s="39" t="s">
        <v>10</v>
      </c>
      <c r="HE9" s="6" t="s">
        <v>17</v>
      </c>
      <c r="HF9" s="152" t="s">
        <v>18</v>
      </c>
      <c r="HG9" s="39" t="s">
        <v>18</v>
      </c>
      <c r="HH9" s="42"/>
      <c r="HI9" s="39" t="s">
        <v>10</v>
      </c>
      <c r="HJ9" s="6" t="s">
        <v>17</v>
      </c>
      <c r="HK9" s="152" t="s">
        <v>18</v>
      </c>
      <c r="HL9" s="39" t="s">
        <v>18</v>
      </c>
      <c r="HM9" s="42"/>
      <c r="HN9" s="39" t="s">
        <v>10</v>
      </c>
      <c r="HO9" s="6" t="s">
        <v>17</v>
      </c>
      <c r="HP9" s="152" t="s">
        <v>18</v>
      </c>
      <c r="HQ9" s="39" t="s">
        <v>18</v>
      </c>
      <c r="HR9" s="42"/>
      <c r="HS9" s="39" t="s">
        <v>10</v>
      </c>
      <c r="HT9" s="6" t="s">
        <v>17</v>
      </c>
      <c r="HU9" s="152" t="s">
        <v>18</v>
      </c>
      <c r="HV9" s="39" t="s">
        <v>18</v>
      </c>
      <c r="HW9" s="42"/>
      <c r="HX9" s="39" t="s">
        <v>10</v>
      </c>
      <c r="HY9" s="6" t="s">
        <v>17</v>
      </c>
      <c r="HZ9" s="152" t="s">
        <v>18</v>
      </c>
      <c r="IA9" s="39" t="s">
        <v>18</v>
      </c>
      <c r="IB9" s="42"/>
      <c r="IC9" s="39" t="s">
        <v>10</v>
      </c>
      <c r="ID9" s="6" t="s">
        <v>17</v>
      </c>
      <c r="IE9" s="152" t="s">
        <v>18</v>
      </c>
      <c r="IF9" s="39" t="s">
        <v>18</v>
      </c>
      <c r="IG9" s="42"/>
      <c r="IH9" s="39" t="s">
        <v>10</v>
      </c>
      <c r="II9" s="6" t="s">
        <v>17</v>
      </c>
      <c r="IJ9" s="152" t="s">
        <v>18</v>
      </c>
      <c r="IK9" s="39" t="s">
        <v>18</v>
      </c>
      <c r="IL9" s="42"/>
      <c r="IM9" s="39" t="s">
        <v>10</v>
      </c>
      <c r="IN9" s="6" t="s">
        <v>17</v>
      </c>
      <c r="IO9" s="152" t="s">
        <v>18</v>
      </c>
      <c r="IP9" s="39" t="s">
        <v>18</v>
      </c>
      <c r="IQ9" s="42"/>
    </row>
    <row r="10" spans="1:251" ht="13.5" thickBot="1" x14ac:dyDescent="0.25">
      <c r="A10" s="42"/>
      <c r="B10" s="146" t="s">
        <v>139</v>
      </c>
      <c r="C10" s="160" t="s">
        <v>143</v>
      </c>
      <c r="D10" s="161" t="s">
        <v>144</v>
      </c>
      <c r="E10" s="146" t="s">
        <v>145</v>
      </c>
      <c r="F10" s="42"/>
      <c r="G10" s="146" t="s">
        <v>139</v>
      </c>
      <c r="H10" s="160" t="s">
        <v>143</v>
      </c>
      <c r="I10" s="161" t="s">
        <v>144</v>
      </c>
      <c r="J10" s="146" t="s">
        <v>145</v>
      </c>
      <c r="K10" s="42"/>
      <c r="L10" s="146" t="s">
        <v>139</v>
      </c>
      <c r="M10" s="160" t="s">
        <v>143</v>
      </c>
      <c r="N10" s="161" t="s">
        <v>144</v>
      </c>
      <c r="O10" s="146" t="s">
        <v>145</v>
      </c>
      <c r="P10" s="42"/>
      <c r="Q10" s="146" t="s">
        <v>139</v>
      </c>
      <c r="R10" s="160" t="s">
        <v>143</v>
      </c>
      <c r="S10" s="161" t="s">
        <v>144</v>
      </c>
      <c r="T10" s="146" t="s">
        <v>145</v>
      </c>
      <c r="U10" s="42"/>
      <c r="V10" s="146" t="s">
        <v>139</v>
      </c>
      <c r="W10" s="160" t="s">
        <v>143</v>
      </c>
      <c r="X10" s="161" t="s">
        <v>144</v>
      </c>
      <c r="Y10" s="146" t="s">
        <v>145</v>
      </c>
      <c r="Z10" s="42"/>
      <c r="AA10" s="146" t="s">
        <v>139</v>
      </c>
      <c r="AB10" s="160" t="s">
        <v>143</v>
      </c>
      <c r="AC10" s="161" t="s">
        <v>144</v>
      </c>
      <c r="AD10" s="146" t="s">
        <v>145</v>
      </c>
      <c r="AE10" s="42"/>
      <c r="AF10" s="146" t="s">
        <v>139</v>
      </c>
      <c r="AG10" s="160" t="s">
        <v>143</v>
      </c>
      <c r="AH10" s="161" t="s">
        <v>144</v>
      </c>
      <c r="AI10" s="146" t="s">
        <v>145</v>
      </c>
      <c r="AJ10" s="42"/>
      <c r="AK10" s="146" t="s">
        <v>139</v>
      </c>
      <c r="AL10" s="160" t="s">
        <v>143</v>
      </c>
      <c r="AM10" s="161" t="s">
        <v>144</v>
      </c>
      <c r="AN10" s="146" t="s">
        <v>145</v>
      </c>
      <c r="AO10" s="42"/>
      <c r="AP10" s="146" t="s">
        <v>139</v>
      </c>
      <c r="AQ10" s="160" t="s">
        <v>143</v>
      </c>
      <c r="AR10" s="161" t="s">
        <v>144</v>
      </c>
      <c r="AS10" s="146" t="s">
        <v>145</v>
      </c>
      <c r="AT10" s="42"/>
      <c r="AU10" s="146" t="s">
        <v>139</v>
      </c>
      <c r="AV10" s="160" t="s">
        <v>143</v>
      </c>
      <c r="AW10" s="161" t="s">
        <v>144</v>
      </c>
      <c r="AX10" s="146" t="s">
        <v>145</v>
      </c>
      <c r="AY10" s="42"/>
      <c r="AZ10" s="146" t="s">
        <v>139</v>
      </c>
      <c r="BA10" s="160" t="s">
        <v>143</v>
      </c>
      <c r="BB10" s="161" t="s">
        <v>144</v>
      </c>
      <c r="BC10" s="146" t="s">
        <v>145</v>
      </c>
      <c r="BD10" s="42"/>
      <c r="BE10" s="146" t="s">
        <v>139</v>
      </c>
      <c r="BF10" s="160" t="s">
        <v>143</v>
      </c>
      <c r="BG10" s="161" t="s">
        <v>144</v>
      </c>
      <c r="BH10" s="146" t="s">
        <v>145</v>
      </c>
      <c r="BI10" s="42"/>
      <c r="BJ10" s="146" t="s">
        <v>139</v>
      </c>
      <c r="BK10" s="160" t="s">
        <v>143</v>
      </c>
      <c r="BL10" s="161" t="s">
        <v>144</v>
      </c>
      <c r="BM10" s="146" t="s">
        <v>145</v>
      </c>
      <c r="BN10" s="42"/>
      <c r="BO10" s="146" t="s">
        <v>139</v>
      </c>
      <c r="BP10" s="160" t="s">
        <v>143</v>
      </c>
      <c r="BQ10" s="161" t="s">
        <v>144</v>
      </c>
      <c r="BR10" s="146" t="s">
        <v>145</v>
      </c>
      <c r="BS10" s="42"/>
      <c r="BT10" s="146" t="s">
        <v>139</v>
      </c>
      <c r="BU10" s="160" t="s">
        <v>143</v>
      </c>
      <c r="BV10" s="161" t="s">
        <v>144</v>
      </c>
      <c r="BW10" s="146" t="s">
        <v>145</v>
      </c>
      <c r="BX10" s="42"/>
      <c r="BY10" s="146" t="s">
        <v>139</v>
      </c>
      <c r="BZ10" s="160" t="s">
        <v>143</v>
      </c>
      <c r="CA10" s="161" t="s">
        <v>144</v>
      </c>
      <c r="CB10" s="146" t="s">
        <v>145</v>
      </c>
      <c r="CC10" s="42"/>
      <c r="CD10" s="146" t="s">
        <v>139</v>
      </c>
      <c r="CE10" s="160" t="s">
        <v>143</v>
      </c>
      <c r="CF10" s="161" t="s">
        <v>144</v>
      </c>
      <c r="CG10" s="146" t="s">
        <v>145</v>
      </c>
      <c r="CH10" s="42"/>
      <c r="CI10" s="146" t="s">
        <v>139</v>
      </c>
      <c r="CJ10" s="160" t="s">
        <v>143</v>
      </c>
      <c r="CK10" s="161" t="s">
        <v>144</v>
      </c>
      <c r="CL10" s="146" t="s">
        <v>145</v>
      </c>
      <c r="CM10" s="42"/>
      <c r="CN10" s="146" t="s">
        <v>139</v>
      </c>
      <c r="CO10" s="160" t="s">
        <v>143</v>
      </c>
      <c r="CP10" s="161" t="s">
        <v>144</v>
      </c>
      <c r="CQ10" s="146" t="s">
        <v>145</v>
      </c>
      <c r="CR10" s="42"/>
      <c r="CS10" s="146" t="s">
        <v>139</v>
      </c>
      <c r="CT10" s="160" t="s">
        <v>143</v>
      </c>
      <c r="CU10" s="161" t="s">
        <v>144</v>
      </c>
      <c r="CV10" s="146" t="s">
        <v>145</v>
      </c>
      <c r="CW10" s="42"/>
      <c r="CX10" s="146" t="s">
        <v>139</v>
      </c>
      <c r="CY10" s="160" t="s">
        <v>143</v>
      </c>
      <c r="CZ10" s="161" t="s">
        <v>144</v>
      </c>
      <c r="DA10" s="146" t="s">
        <v>145</v>
      </c>
      <c r="DB10" s="42"/>
      <c r="DC10" s="146" t="s">
        <v>139</v>
      </c>
      <c r="DD10" s="160" t="s">
        <v>143</v>
      </c>
      <c r="DE10" s="161" t="s">
        <v>144</v>
      </c>
      <c r="DF10" s="146" t="s">
        <v>145</v>
      </c>
      <c r="DG10" s="42"/>
      <c r="DH10" s="146" t="s">
        <v>139</v>
      </c>
      <c r="DI10" s="160" t="s">
        <v>143</v>
      </c>
      <c r="DJ10" s="161" t="s">
        <v>144</v>
      </c>
      <c r="DK10" s="146" t="s">
        <v>145</v>
      </c>
      <c r="DL10" s="42"/>
      <c r="DM10" s="146" t="s">
        <v>139</v>
      </c>
      <c r="DN10" s="160" t="s">
        <v>143</v>
      </c>
      <c r="DO10" s="161" t="s">
        <v>144</v>
      </c>
      <c r="DP10" s="146" t="s">
        <v>145</v>
      </c>
      <c r="DQ10" s="42"/>
      <c r="DR10" s="146" t="s">
        <v>139</v>
      </c>
      <c r="DS10" s="160" t="s">
        <v>143</v>
      </c>
      <c r="DT10" s="161" t="s">
        <v>144</v>
      </c>
      <c r="DU10" s="146" t="s">
        <v>145</v>
      </c>
      <c r="DV10" s="42"/>
      <c r="DW10" s="146" t="s">
        <v>139</v>
      </c>
      <c r="DX10" s="160" t="s">
        <v>143</v>
      </c>
      <c r="DY10" s="161" t="s">
        <v>144</v>
      </c>
      <c r="DZ10" s="146" t="s">
        <v>145</v>
      </c>
      <c r="EA10" s="42"/>
      <c r="EB10" s="146" t="s">
        <v>139</v>
      </c>
      <c r="EC10" s="160" t="s">
        <v>143</v>
      </c>
      <c r="ED10" s="161" t="s">
        <v>144</v>
      </c>
      <c r="EE10" s="146" t="s">
        <v>145</v>
      </c>
      <c r="EF10" s="42"/>
      <c r="EG10" s="146" t="s">
        <v>139</v>
      </c>
      <c r="EH10" s="160" t="s">
        <v>143</v>
      </c>
      <c r="EI10" s="161" t="s">
        <v>144</v>
      </c>
      <c r="EJ10" s="146" t="s">
        <v>145</v>
      </c>
      <c r="EK10" s="42"/>
      <c r="EL10" s="146" t="s">
        <v>139</v>
      </c>
      <c r="EM10" s="160" t="s">
        <v>143</v>
      </c>
      <c r="EN10" s="161" t="s">
        <v>144</v>
      </c>
      <c r="EO10" s="146" t="s">
        <v>145</v>
      </c>
      <c r="EP10" s="42"/>
      <c r="EQ10" s="146" t="s">
        <v>139</v>
      </c>
      <c r="ER10" s="160" t="s">
        <v>143</v>
      </c>
      <c r="ES10" s="161" t="s">
        <v>144</v>
      </c>
      <c r="ET10" s="146" t="s">
        <v>145</v>
      </c>
      <c r="EU10" s="42"/>
      <c r="EV10" s="146" t="s">
        <v>139</v>
      </c>
      <c r="EW10" s="160" t="s">
        <v>143</v>
      </c>
      <c r="EX10" s="161" t="s">
        <v>144</v>
      </c>
      <c r="EY10" s="146" t="s">
        <v>145</v>
      </c>
      <c r="EZ10" s="42"/>
      <c r="FA10" s="146" t="s">
        <v>139</v>
      </c>
      <c r="FB10" s="160" t="s">
        <v>143</v>
      </c>
      <c r="FC10" s="161" t="s">
        <v>144</v>
      </c>
      <c r="FD10" s="146" t="s">
        <v>145</v>
      </c>
      <c r="FE10" s="42"/>
      <c r="FF10" s="146" t="s">
        <v>139</v>
      </c>
      <c r="FG10" s="160" t="s">
        <v>143</v>
      </c>
      <c r="FH10" s="161" t="s">
        <v>144</v>
      </c>
      <c r="FI10" s="146" t="s">
        <v>145</v>
      </c>
      <c r="FJ10" s="42"/>
      <c r="FK10" s="146" t="s">
        <v>139</v>
      </c>
      <c r="FL10" s="160" t="s">
        <v>143</v>
      </c>
      <c r="FM10" s="161" t="s">
        <v>144</v>
      </c>
      <c r="FN10" s="146" t="s">
        <v>145</v>
      </c>
      <c r="FO10" s="42"/>
      <c r="FP10" s="146" t="s">
        <v>139</v>
      </c>
      <c r="FQ10" s="160" t="s">
        <v>143</v>
      </c>
      <c r="FR10" s="161" t="s">
        <v>144</v>
      </c>
      <c r="FS10" s="146" t="s">
        <v>145</v>
      </c>
      <c r="FT10" s="42"/>
      <c r="FU10" s="146" t="s">
        <v>139</v>
      </c>
      <c r="FV10" s="160" t="s">
        <v>143</v>
      </c>
      <c r="FW10" s="161" t="s">
        <v>144</v>
      </c>
      <c r="FX10" s="146" t="s">
        <v>145</v>
      </c>
      <c r="FY10" s="42"/>
      <c r="FZ10" s="146" t="s">
        <v>139</v>
      </c>
      <c r="GA10" s="160" t="s">
        <v>143</v>
      </c>
      <c r="GB10" s="161" t="s">
        <v>144</v>
      </c>
      <c r="GC10" s="146" t="s">
        <v>145</v>
      </c>
      <c r="GD10" s="42"/>
      <c r="GE10" s="146" t="s">
        <v>139</v>
      </c>
      <c r="GF10" s="160" t="s">
        <v>143</v>
      </c>
      <c r="GG10" s="161" t="s">
        <v>144</v>
      </c>
      <c r="GH10" s="146" t="s">
        <v>145</v>
      </c>
      <c r="GI10" s="42"/>
      <c r="GJ10" s="146" t="s">
        <v>139</v>
      </c>
      <c r="GK10" s="160" t="s">
        <v>143</v>
      </c>
      <c r="GL10" s="161" t="s">
        <v>144</v>
      </c>
      <c r="GM10" s="146" t="s">
        <v>145</v>
      </c>
      <c r="GN10" s="42"/>
      <c r="GO10" s="146" t="s">
        <v>139</v>
      </c>
      <c r="GP10" s="160" t="s">
        <v>143</v>
      </c>
      <c r="GQ10" s="161" t="s">
        <v>144</v>
      </c>
      <c r="GR10" s="146" t="s">
        <v>145</v>
      </c>
      <c r="GS10" s="42"/>
      <c r="GT10" s="146" t="s">
        <v>139</v>
      </c>
      <c r="GU10" s="160" t="s">
        <v>143</v>
      </c>
      <c r="GV10" s="161" t="s">
        <v>144</v>
      </c>
      <c r="GW10" s="146" t="s">
        <v>145</v>
      </c>
      <c r="GX10" s="42"/>
      <c r="GY10" s="146" t="s">
        <v>139</v>
      </c>
      <c r="GZ10" s="160" t="s">
        <v>143</v>
      </c>
      <c r="HA10" s="161" t="s">
        <v>144</v>
      </c>
      <c r="HB10" s="146" t="s">
        <v>145</v>
      </c>
      <c r="HC10" s="42"/>
      <c r="HD10" s="146" t="s">
        <v>139</v>
      </c>
      <c r="HE10" s="160" t="s">
        <v>143</v>
      </c>
      <c r="HF10" s="161" t="s">
        <v>144</v>
      </c>
      <c r="HG10" s="146" t="s">
        <v>145</v>
      </c>
      <c r="HH10" s="42"/>
      <c r="HI10" s="146" t="s">
        <v>139</v>
      </c>
      <c r="HJ10" s="160" t="s">
        <v>143</v>
      </c>
      <c r="HK10" s="161" t="s">
        <v>144</v>
      </c>
      <c r="HL10" s="146" t="s">
        <v>145</v>
      </c>
      <c r="HM10" s="42"/>
      <c r="HN10" s="146" t="s">
        <v>139</v>
      </c>
      <c r="HO10" s="160" t="s">
        <v>143</v>
      </c>
      <c r="HP10" s="161" t="s">
        <v>144</v>
      </c>
      <c r="HQ10" s="146" t="s">
        <v>145</v>
      </c>
      <c r="HR10" s="42"/>
      <c r="HS10" s="146" t="s">
        <v>139</v>
      </c>
      <c r="HT10" s="160" t="s">
        <v>143</v>
      </c>
      <c r="HU10" s="161" t="s">
        <v>144</v>
      </c>
      <c r="HV10" s="146" t="s">
        <v>145</v>
      </c>
      <c r="HW10" s="42"/>
      <c r="HX10" s="146" t="s">
        <v>139</v>
      </c>
      <c r="HY10" s="160" t="s">
        <v>143</v>
      </c>
      <c r="HZ10" s="161" t="s">
        <v>144</v>
      </c>
      <c r="IA10" s="146" t="s">
        <v>145</v>
      </c>
      <c r="IB10" s="42"/>
      <c r="IC10" s="146" t="s">
        <v>139</v>
      </c>
      <c r="ID10" s="160" t="s">
        <v>143</v>
      </c>
      <c r="IE10" s="161" t="s">
        <v>144</v>
      </c>
      <c r="IF10" s="146" t="s">
        <v>145</v>
      </c>
      <c r="IG10" s="42"/>
      <c r="IH10" s="146" t="s">
        <v>139</v>
      </c>
      <c r="II10" s="160" t="s">
        <v>143</v>
      </c>
      <c r="IJ10" s="161" t="s">
        <v>144</v>
      </c>
      <c r="IK10" s="146" t="s">
        <v>145</v>
      </c>
      <c r="IL10" s="42"/>
      <c r="IM10" s="146" t="s">
        <v>139</v>
      </c>
      <c r="IN10" s="160" t="s">
        <v>143</v>
      </c>
      <c r="IO10" s="161" t="s">
        <v>144</v>
      </c>
      <c r="IP10" s="146" t="s">
        <v>145</v>
      </c>
      <c r="IQ10" s="42"/>
    </row>
    <row r="11" spans="1:251" x14ac:dyDescent="0.2">
      <c r="A11" s="42"/>
      <c r="B11" s="107" t="s">
        <v>182</v>
      </c>
      <c r="C11" s="104"/>
      <c r="D11" s="54"/>
      <c r="E11" s="53"/>
      <c r="F11" s="74"/>
      <c r="G11" s="107" t="s">
        <v>177</v>
      </c>
      <c r="H11" s="104"/>
      <c r="I11" s="54"/>
      <c r="J11" s="53"/>
      <c r="K11" s="74"/>
      <c r="L11" s="107" t="s">
        <v>183</v>
      </c>
      <c r="M11" s="104"/>
      <c r="N11" s="54"/>
      <c r="O11" s="53"/>
      <c r="P11" s="74"/>
      <c r="Q11" s="107" t="s">
        <v>184</v>
      </c>
      <c r="R11" s="104"/>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B12">
      <formula1>NameLabelRange</formula1>
    </dataValidation>
    <dataValidation type="list" allowBlank="1" sqref="I11">
      <formula1>Resources</formula1>
    </dataValidation>
    <dataValidation type="list" allowBlank="1" sqref="C11">
      <formula1>WSNumOutputObjects</formula1>
    </dataValidation>
    <dataValidation type="list" allowBlank="1" sqref="H11">
      <formula1>WSNumOutputObjects</formula1>
    </dataValidation>
    <dataValidation type="list" allowBlank="1" sqref="M11">
      <formula1>WSNumOutputObjects</formula1>
    </dataValidation>
    <dataValidation type="list" allowBlank="1" sqref="R11">
      <formula1>WSNumOutputObjects</formula1>
    </dataValidation>
    <dataValidation type="list" allowBlank="1" sqref="D8">
      <formula1>DistributionsWorkStations</formula1>
    </dataValidation>
    <dataValidation type="list" allowBlank="1" sqref="I8">
      <formula1>DistributionsWorkStations</formula1>
    </dataValidation>
    <dataValidation type="list" allowBlank="1" sqref="N8">
      <formula1>DistributionsWorkStations</formula1>
    </dataValidation>
    <dataValidation type="list" allowBlank="1" sqref="S8">
      <formula1>DistributionsWorkStations</formula1>
    </dataValidation>
    <dataValidation type="list" allowBlank="1" sqref="D7">
      <formula1>NameLabelRange</formula1>
    </dataValidation>
    <dataValidation type="list" allowBlank="1" sqref="B11">
      <formula1>NameLabelRange</formula1>
    </dataValidation>
    <dataValidation type="list" allowBlank="1" sqref="I7">
      <formula1>NameLabelRange</formula1>
    </dataValidation>
    <dataValidation type="list" allowBlank="1" sqref="N7">
      <formula1>NameLabelRange</formula1>
    </dataValidation>
    <dataValidation type="list" allowBlank="1" sqref="S7">
      <formula1>NameLabelRange</formula1>
    </dataValidation>
    <dataValidation type="list" allowBlank="1" sqref="G11">
      <formula1>NameLabelRange</formula1>
    </dataValidation>
    <dataValidation type="list" allowBlank="1" sqref="L11">
      <formula1>NameLabelRange</formula1>
    </dataValidation>
    <dataValidation type="list" allowBlank="1" sqref="Q11">
      <formula1>NameLabelRange</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C9" sqref="C9"/>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t="s">
        <v>172</v>
      </c>
      <c r="D7" s="3"/>
      <c r="E7" s="118" t="s">
        <v>136</v>
      </c>
      <c r="F7" s="104" t="s">
        <v>173</v>
      </c>
      <c r="G7" s="3"/>
      <c r="H7" s="118" t="s">
        <v>136</v>
      </c>
      <c r="I7" s="104" t="s">
        <v>174</v>
      </c>
      <c r="J7" s="3"/>
      <c r="K7" s="118" t="s">
        <v>136</v>
      </c>
      <c r="L7" s="104" t="s">
        <v>175</v>
      </c>
      <c r="M7" s="3"/>
      <c r="N7" s="118" t="s">
        <v>136</v>
      </c>
      <c r="O7" s="104" t="s">
        <v>176</v>
      </c>
      <c r="P7" s="3"/>
      <c r="Q7" s="118" t="s">
        <v>136</v>
      </c>
      <c r="R7" s="104" t="s">
        <v>177</v>
      </c>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159" t="s">
        <v>146</v>
      </c>
      <c r="C8" s="116"/>
      <c r="D8" s="3"/>
      <c r="E8" s="159" t="s">
        <v>146</v>
      </c>
      <c r="F8" s="116"/>
      <c r="G8" s="3"/>
      <c r="H8" s="159" t="s">
        <v>146</v>
      </c>
      <c r="I8" s="116"/>
      <c r="J8" s="3"/>
      <c r="K8" s="159" t="s">
        <v>146</v>
      </c>
      <c r="L8" s="116" t="s">
        <v>112</v>
      </c>
      <c r="M8" s="3"/>
      <c r="N8" s="159" t="s">
        <v>146</v>
      </c>
      <c r="O8" s="116"/>
      <c r="P8" s="3"/>
      <c r="Q8" s="159" t="s">
        <v>146</v>
      </c>
      <c r="R8" s="116" t="s">
        <v>112</v>
      </c>
      <c r="S8" s="3"/>
      <c r="T8" s="159" t="s">
        <v>146</v>
      </c>
      <c r="U8" s="116"/>
      <c r="V8" s="3"/>
      <c r="W8" s="159" t="s">
        <v>146</v>
      </c>
      <c r="X8" s="116"/>
      <c r="Y8" s="3"/>
      <c r="Z8" s="159" t="s">
        <v>146</v>
      </c>
      <c r="AA8" s="116"/>
      <c r="AB8" s="3"/>
      <c r="AC8" s="159" t="s">
        <v>146</v>
      </c>
      <c r="AD8" s="116"/>
      <c r="AE8" s="3"/>
      <c r="AF8" s="159" t="s">
        <v>146</v>
      </c>
      <c r="AG8" s="116"/>
      <c r="AH8" s="3"/>
      <c r="AI8" s="159" t="s">
        <v>146</v>
      </c>
      <c r="AJ8" s="116"/>
      <c r="AK8" s="3"/>
      <c r="AL8" s="159" t="s">
        <v>146</v>
      </c>
      <c r="AM8" s="116"/>
      <c r="AN8" s="3"/>
      <c r="AO8" s="159" t="s">
        <v>146</v>
      </c>
      <c r="AP8" s="116"/>
      <c r="AQ8" s="3"/>
      <c r="AR8" s="159" t="s">
        <v>146</v>
      </c>
      <c r="AS8" s="116"/>
      <c r="AT8" s="3"/>
      <c r="AU8" s="159" t="s">
        <v>146</v>
      </c>
      <c r="AV8" s="116"/>
      <c r="AW8" s="3"/>
      <c r="AX8" s="159" t="s">
        <v>146</v>
      </c>
      <c r="AY8" s="116"/>
      <c r="AZ8" s="3"/>
      <c r="BA8" s="159" t="s">
        <v>146</v>
      </c>
      <c r="BB8" s="116"/>
      <c r="BC8" s="3"/>
      <c r="BD8" s="159" t="s">
        <v>146</v>
      </c>
      <c r="BE8" s="116"/>
      <c r="BF8" s="3"/>
      <c r="BG8" s="159" t="s">
        <v>146</v>
      </c>
      <c r="BH8" s="116"/>
      <c r="BI8" s="3"/>
      <c r="BJ8" s="159" t="s">
        <v>146</v>
      </c>
      <c r="BK8" s="116"/>
      <c r="BL8" s="3"/>
      <c r="BM8" s="159" t="s">
        <v>146</v>
      </c>
      <c r="BN8" s="116"/>
      <c r="BO8" s="3"/>
      <c r="BP8" s="159" t="s">
        <v>146</v>
      </c>
      <c r="BQ8" s="116"/>
      <c r="BR8" s="3"/>
      <c r="BS8" s="159" t="s">
        <v>146</v>
      </c>
      <c r="BT8" s="116"/>
      <c r="BU8" s="3"/>
      <c r="BV8" s="159" t="s">
        <v>146</v>
      </c>
      <c r="BW8" s="116"/>
      <c r="BX8" s="3"/>
      <c r="BY8" s="159" t="s">
        <v>146</v>
      </c>
      <c r="BZ8" s="116"/>
      <c r="CA8" s="3"/>
      <c r="CB8" s="159" t="s">
        <v>146</v>
      </c>
      <c r="CC8" s="116"/>
      <c r="CD8" s="3"/>
      <c r="CE8" s="159" t="s">
        <v>146</v>
      </c>
      <c r="CF8" s="116"/>
      <c r="CG8" s="3"/>
      <c r="CH8" s="159" t="s">
        <v>146</v>
      </c>
      <c r="CI8" s="116"/>
      <c r="CJ8" s="3"/>
      <c r="CK8" s="159" t="s">
        <v>146</v>
      </c>
      <c r="CL8" s="116"/>
      <c r="CM8" s="3"/>
      <c r="CN8" s="159" t="s">
        <v>146</v>
      </c>
      <c r="CO8" s="116"/>
      <c r="CP8" s="3"/>
      <c r="CQ8" s="159" t="s">
        <v>146</v>
      </c>
      <c r="CR8" s="116"/>
      <c r="CS8" s="3"/>
      <c r="CT8" s="159" t="s">
        <v>146</v>
      </c>
      <c r="CU8" s="116"/>
      <c r="CV8" s="3"/>
      <c r="CW8" s="159" t="s">
        <v>146</v>
      </c>
      <c r="CX8" s="116"/>
      <c r="CY8" s="3"/>
      <c r="CZ8" s="159" t="s">
        <v>146</v>
      </c>
      <c r="DA8" s="116"/>
      <c r="DB8" s="3"/>
      <c r="DC8" s="159" t="s">
        <v>146</v>
      </c>
      <c r="DD8" s="116"/>
      <c r="DE8" s="3"/>
      <c r="DF8" s="159" t="s">
        <v>146</v>
      </c>
      <c r="DG8" s="116"/>
      <c r="DH8" s="3"/>
      <c r="DI8" s="159" t="s">
        <v>146</v>
      </c>
      <c r="DJ8" s="116"/>
      <c r="DK8" s="3"/>
      <c r="DL8" s="159" t="s">
        <v>146</v>
      </c>
      <c r="DM8" s="116"/>
      <c r="DN8" s="3"/>
      <c r="DO8" s="159" t="s">
        <v>146</v>
      </c>
      <c r="DP8" s="116"/>
      <c r="DQ8" s="3"/>
      <c r="DR8" s="159" t="s">
        <v>146</v>
      </c>
      <c r="DS8" s="116"/>
      <c r="DT8" s="3"/>
      <c r="DU8" s="159" t="s">
        <v>146</v>
      </c>
      <c r="DV8" s="116"/>
      <c r="DW8" s="3"/>
      <c r="DX8" s="159" t="s">
        <v>146</v>
      </c>
      <c r="DY8" s="116"/>
      <c r="DZ8" s="3"/>
      <c r="EA8" s="159" t="s">
        <v>146</v>
      </c>
      <c r="EB8" s="116"/>
      <c r="EC8" s="3"/>
      <c r="ED8" s="159" t="s">
        <v>146</v>
      </c>
      <c r="EE8" s="116"/>
      <c r="EF8" s="3"/>
      <c r="EG8" s="159" t="s">
        <v>146</v>
      </c>
      <c r="EH8" s="116"/>
      <c r="EI8" s="3"/>
      <c r="EJ8" s="159" t="s">
        <v>146</v>
      </c>
      <c r="EK8" s="116"/>
      <c r="EL8" s="3"/>
      <c r="EM8" s="159" t="s">
        <v>146</v>
      </c>
      <c r="EN8" s="116"/>
      <c r="EO8" s="3"/>
      <c r="EP8" s="159" t="s">
        <v>146</v>
      </c>
      <c r="EQ8" s="116"/>
      <c r="ER8" s="3"/>
      <c r="ES8" s="159" t="s">
        <v>146</v>
      </c>
      <c r="ET8" s="116"/>
      <c r="EU8" s="3"/>
    </row>
    <row r="9" spans="1:151" ht="13.5" thickBot="1" x14ac:dyDescent="0.25">
      <c r="A9" s="3"/>
      <c r="B9" s="146" t="s">
        <v>147</v>
      </c>
      <c r="C9" s="121"/>
      <c r="D9" s="3"/>
      <c r="E9" s="146" t="s">
        <v>147</v>
      </c>
      <c r="F9" s="60"/>
      <c r="G9" s="3"/>
      <c r="H9" s="146" t="s">
        <v>147</v>
      </c>
      <c r="I9" s="60"/>
      <c r="J9" s="3"/>
      <c r="K9" s="146" t="s">
        <v>147</v>
      </c>
      <c r="L9" s="60"/>
      <c r="M9" s="3"/>
      <c r="N9" s="146" t="s">
        <v>147</v>
      </c>
      <c r="O9" s="60"/>
      <c r="P9" s="3"/>
      <c r="Q9" s="146" t="s">
        <v>147</v>
      </c>
      <c r="R9" s="60"/>
      <c r="S9" s="3"/>
      <c r="T9" s="146" t="s">
        <v>147</v>
      </c>
      <c r="U9" s="60"/>
      <c r="V9" s="3"/>
      <c r="W9" s="146" t="s">
        <v>147</v>
      </c>
      <c r="X9" s="60"/>
      <c r="Y9" s="3"/>
      <c r="Z9" s="146" t="s">
        <v>147</v>
      </c>
      <c r="AA9" s="60"/>
      <c r="AB9" s="3"/>
      <c r="AC9" s="146" t="s">
        <v>147</v>
      </c>
      <c r="AD9" s="60"/>
      <c r="AE9" s="3"/>
      <c r="AF9" s="146" t="s">
        <v>147</v>
      </c>
      <c r="AG9" s="60"/>
      <c r="AH9" s="3"/>
      <c r="AI9" s="146" t="s">
        <v>147</v>
      </c>
      <c r="AJ9" s="60"/>
      <c r="AK9" s="3"/>
      <c r="AL9" s="146" t="s">
        <v>147</v>
      </c>
      <c r="AM9" s="60"/>
      <c r="AN9" s="3"/>
      <c r="AO9" s="146" t="s">
        <v>147</v>
      </c>
      <c r="AP9" s="60"/>
      <c r="AQ9" s="3"/>
      <c r="AR9" s="146" t="s">
        <v>147</v>
      </c>
      <c r="AS9" s="60"/>
      <c r="AT9" s="3"/>
      <c r="AU9" s="146" t="s">
        <v>147</v>
      </c>
      <c r="AV9" s="60"/>
      <c r="AW9" s="3"/>
      <c r="AX9" s="146" t="s">
        <v>147</v>
      </c>
      <c r="AY9" s="60"/>
      <c r="AZ9" s="3"/>
      <c r="BA9" s="146" t="s">
        <v>147</v>
      </c>
      <c r="BB9" s="60"/>
      <c r="BC9" s="3"/>
      <c r="BD9" s="146" t="s">
        <v>147</v>
      </c>
      <c r="BE9" s="60"/>
      <c r="BF9" s="3"/>
      <c r="BG9" s="146" t="s">
        <v>147</v>
      </c>
      <c r="BH9" s="60"/>
      <c r="BI9" s="3"/>
      <c r="BJ9" s="146" t="s">
        <v>147</v>
      </c>
      <c r="BK9" s="60"/>
      <c r="BL9" s="3"/>
      <c r="BM9" s="146" t="s">
        <v>147</v>
      </c>
      <c r="BN9" s="60"/>
      <c r="BO9" s="3"/>
      <c r="BP9" s="146" t="s">
        <v>147</v>
      </c>
      <c r="BQ9" s="60"/>
      <c r="BR9" s="3"/>
      <c r="BS9" s="146" t="s">
        <v>147</v>
      </c>
      <c r="BT9" s="60"/>
      <c r="BU9" s="3"/>
      <c r="BV9" s="146" t="s">
        <v>147</v>
      </c>
      <c r="BW9" s="60"/>
      <c r="BX9" s="3"/>
      <c r="BY9" s="146" t="s">
        <v>147</v>
      </c>
      <c r="BZ9" s="60"/>
      <c r="CA9" s="3"/>
      <c r="CB9" s="146" t="s">
        <v>147</v>
      </c>
      <c r="CC9" s="60"/>
      <c r="CD9" s="3"/>
      <c r="CE9" s="146" t="s">
        <v>147</v>
      </c>
      <c r="CF9" s="60"/>
      <c r="CG9" s="3"/>
      <c r="CH9" s="146" t="s">
        <v>147</v>
      </c>
      <c r="CI9" s="60"/>
      <c r="CJ9" s="3"/>
      <c r="CK9" s="146" t="s">
        <v>147</v>
      </c>
      <c r="CL9" s="60"/>
      <c r="CM9" s="3"/>
      <c r="CN9" s="146" t="s">
        <v>147</v>
      </c>
      <c r="CO9" s="60"/>
      <c r="CP9" s="3"/>
      <c r="CQ9" s="146" t="s">
        <v>147</v>
      </c>
      <c r="CR9" s="60"/>
      <c r="CS9" s="3"/>
      <c r="CT9" s="146" t="s">
        <v>147</v>
      </c>
      <c r="CU9" s="60"/>
      <c r="CV9" s="3"/>
      <c r="CW9" s="146" t="s">
        <v>147</v>
      </c>
      <c r="CX9" s="60"/>
      <c r="CY9" s="3"/>
      <c r="CZ9" s="146" t="s">
        <v>147</v>
      </c>
      <c r="DA9" s="60"/>
      <c r="DB9" s="3"/>
      <c r="DC9" s="146" t="s">
        <v>147</v>
      </c>
      <c r="DD9" s="60"/>
      <c r="DE9" s="3"/>
      <c r="DF9" s="146" t="s">
        <v>147</v>
      </c>
      <c r="DG9" s="60"/>
      <c r="DH9" s="3"/>
      <c r="DI9" s="146" t="s">
        <v>147</v>
      </c>
      <c r="DJ9" s="60"/>
      <c r="DK9" s="3"/>
      <c r="DL9" s="146" t="s">
        <v>147</v>
      </c>
      <c r="DM9" s="60"/>
      <c r="DN9" s="3"/>
      <c r="DO9" s="146" t="s">
        <v>147</v>
      </c>
      <c r="DP9" s="60"/>
      <c r="DQ9" s="3"/>
      <c r="DR9" s="146" t="s">
        <v>147</v>
      </c>
      <c r="DS9" s="60"/>
      <c r="DT9" s="3"/>
      <c r="DU9" s="146" t="s">
        <v>147</v>
      </c>
      <c r="DV9" s="60"/>
      <c r="DW9" s="3"/>
      <c r="DX9" s="146" t="s">
        <v>147</v>
      </c>
      <c r="DY9" s="60"/>
      <c r="DZ9" s="3"/>
      <c r="EA9" s="146" t="s">
        <v>147</v>
      </c>
      <c r="EB9" s="60"/>
      <c r="EC9" s="3"/>
      <c r="ED9" s="146" t="s">
        <v>147</v>
      </c>
      <c r="EE9" s="60"/>
      <c r="EF9" s="3"/>
      <c r="EG9" s="146" t="s">
        <v>147</v>
      </c>
      <c r="EH9" s="60"/>
      <c r="EI9" s="3"/>
      <c r="EJ9" s="146" t="s">
        <v>147</v>
      </c>
      <c r="EK9" s="60"/>
      <c r="EL9" s="3"/>
      <c r="EM9" s="146" t="s">
        <v>147</v>
      </c>
      <c r="EN9" s="60"/>
      <c r="EO9" s="3"/>
      <c r="EP9" s="146" t="s">
        <v>147</v>
      </c>
      <c r="EQ9" s="60"/>
      <c r="ER9" s="3"/>
      <c r="ES9" s="146" t="s">
        <v>147</v>
      </c>
      <c r="ET9" s="60"/>
      <c r="EU9" s="3"/>
    </row>
    <row r="10" spans="1:151" x14ac:dyDescent="0.2">
      <c r="A10" s="3"/>
      <c r="B10" s="152" t="s">
        <v>10</v>
      </c>
      <c r="C10" s="39" t="s">
        <v>10</v>
      </c>
      <c r="D10" s="3"/>
      <c r="E10" s="152" t="s">
        <v>10</v>
      </c>
      <c r="F10" s="39" t="s">
        <v>10</v>
      </c>
      <c r="G10" s="3"/>
      <c r="H10" s="152" t="s">
        <v>10</v>
      </c>
      <c r="I10" s="39" t="s">
        <v>10</v>
      </c>
      <c r="J10" s="3"/>
      <c r="K10" s="152" t="s">
        <v>10</v>
      </c>
      <c r="L10" s="39" t="s">
        <v>10</v>
      </c>
      <c r="M10" s="3"/>
      <c r="N10" s="152" t="s">
        <v>10</v>
      </c>
      <c r="O10" s="39" t="s">
        <v>10</v>
      </c>
      <c r="P10" s="3"/>
      <c r="Q10" s="152" t="s">
        <v>10</v>
      </c>
      <c r="R10" s="39" t="s">
        <v>10</v>
      </c>
      <c r="S10" s="3"/>
      <c r="T10" s="152" t="s">
        <v>10</v>
      </c>
      <c r="U10" s="39" t="s">
        <v>10</v>
      </c>
      <c r="V10" s="3"/>
      <c r="W10" s="152" t="s">
        <v>10</v>
      </c>
      <c r="X10" s="39" t="s">
        <v>10</v>
      </c>
      <c r="Y10" s="3"/>
      <c r="Z10" s="152" t="s">
        <v>10</v>
      </c>
      <c r="AA10" s="39" t="s">
        <v>10</v>
      </c>
      <c r="AB10" s="3"/>
      <c r="AC10" s="152" t="s">
        <v>10</v>
      </c>
      <c r="AD10" s="39" t="s">
        <v>10</v>
      </c>
      <c r="AE10" s="3"/>
      <c r="AF10" s="152" t="s">
        <v>10</v>
      </c>
      <c r="AG10" s="39" t="s">
        <v>10</v>
      </c>
      <c r="AH10" s="3"/>
      <c r="AI10" s="152" t="s">
        <v>10</v>
      </c>
      <c r="AJ10" s="39" t="s">
        <v>10</v>
      </c>
      <c r="AK10" s="3"/>
      <c r="AL10" s="152" t="s">
        <v>10</v>
      </c>
      <c r="AM10" s="39" t="s">
        <v>10</v>
      </c>
      <c r="AN10" s="3"/>
      <c r="AO10" s="152" t="s">
        <v>10</v>
      </c>
      <c r="AP10" s="39" t="s">
        <v>10</v>
      </c>
      <c r="AQ10" s="3"/>
      <c r="AR10" s="152" t="s">
        <v>10</v>
      </c>
      <c r="AS10" s="39" t="s">
        <v>10</v>
      </c>
      <c r="AT10" s="3"/>
      <c r="AU10" s="152" t="s">
        <v>10</v>
      </c>
      <c r="AV10" s="39" t="s">
        <v>10</v>
      </c>
      <c r="AW10" s="3"/>
      <c r="AX10" s="152" t="s">
        <v>10</v>
      </c>
      <c r="AY10" s="39" t="s">
        <v>10</v>
      </c>
      <c r="AZ10" s="3"/>
      <c r="BA10" s="152" t="s">
        <v>10</v>
      </c>
      <c r="BB10" s="39" t="s">
        <v>10</v>
      </c>
      <c r="BC10" s="3"/>
      <c r="BD10" s="152" t="s">
        <v>10</v>
      </c>
      <c r="BE10" s="39" t="s">
        <v>10</v>
      </c>
      <c r="BF10" s="3"/>
      <c r="BG10" s="152" t="s">
        <v>10</v>
      </c>
      <c r="BH10" s="39" t="s">
        <v>10</v>
      </c>
      <c r="BI10" s="3"/>
      <c r="BJ10" s="152" t="s">
        <v>10</v>
      </c>
      <c r="BK10" s="39" t="s">
        <v>10</v>
      </c>
      <c r="BL10" s="3"/>
      <c r="BM10" s="152" t="s">
        <v>10</v>
      </c>
      <c r="BN10" s="39" t="s">
        <v>10</v>
      </c>
      <c r="BO10" s="3"/>
      <c r="BP10" s="152" t="s">
        <v>10</v>
      </c>
      <c r="BQ10" s="39" t="s">
        <v>10</v>
      </c>
      <c r="BR10" s="3"/>
      <c r="BS10" s="152" t="s">
        <v>10</v>
      </c>
      <c r="BT10" s="39" t="s">
        <v>10</v>
      </c>
      <c r="BU10" s="3"/>
      <c r="BV10" s="152" t="s">
        <v>10</v>
      </c>
      <c r="BW10" s="39" t="s">
        <v>10</v>
      </c>
      <c r="BX10" s="3"/>
      <c r="BY10" s="152" t="s">
        <v>10</v>
      </c>
      <c r="BZ10" s="39" t="s">
        <v>10</v>
      </c>
      <c r="CA10" s="3"/>
      <c r="CB10" s="152" t="s">
        <v>10</v>
      </c>
      <c r="CC10" s="39" t="s">
        <v>10</v>
      </c>
      <c r="CD10" s="3"/>
      <c r="CE10" s="152" t="s">
        <v>10</v>
      </c>
      <c r="CF10" s="39" t="s">
        <v>10</v>
      </c>
      <c r="CG10" s="3"/>
      <c r="CH10" s="152" t="s">
        <v>10</v>
      </c>
      <c r="CI10" s="39" t="s">
        <v>10</v>
      </c>
      <c r="CJ10" s="3"/>
      <c r="CK10" s="152" t="s">
        <v>10</v>
      </c>
      <c r="CL10" s="39" t="s">
        <v>10</v>
      </c>
      <c r="CM10" s="3"/>
      <c r="CN10" s="152" t="s">
        <v>10</v>
      </c>
      <c r="CO10" s="39" t="s">
        <v>10</v>
      </c>
      <c r="CP10" s="3"/>
      <c r="CQ10" s="152" t="s">
        <v>10</v>
      </c>
      <c r="CR10" s="39" t="s">
        <v>10</v>
      </c>
      <c r="CS10" s="3"/>
      <c r="CT10" s="152" t="s">
        <v>10</v>
      </c>
      <c r="CU10" s="39" t="s">
        <v>10</v>
      </c>
      <c r="CV10" s="3"/>
      <c r="CW10" s="152" t="s">
        <v>10</v>
      </c>
      <c r="CX10" s="39" t="s">
        <v>10</v>
      </c>
      <c r="CY10" s="3"/>
      <c r="CZ10" s="152" t="s">
        <v>10</v>
      </c>
      <c r="DA10" s="39" t="s">
        <v>10</v>
      </c>
      <c r="DB10" s="3"/>
      <c r="DC10" s="152" t="s">
        <v>10</v>
      </c>
      <c r="DD10" s="39" t="s">
        <v>10</v>
      </c>
      <c r="DE10" s="3"/>
      <c r="DF10" s="152" t="s">
        <v>10</v>
      </c>
      <c r="DG10" s="39" t="s">
        <v>10</v>
      </c>
      <c r="DH10" s="3"/>
      <c r="DI10" s="152" t="s">
        <v>10</v>
      </c>
      <c r="DJ10" s="39" t="s">
        <v>10</v>
      </c>
      <c r="DK10" s="3"/>
      <c r="DL10" s="152" t="s">
        <v>10</v>
      </c>
      <c r="DM10" s="39" t="s">
        <v>10</v>
      </c>
      <c r="DN10" s="3"/>
      <c r="DO10" s="152" t="s">
        <v>10</v>
      </c>
      <c r="DP10" s="39" t="s">
        <v>10</v>
      </c>
      <c r="DQ10" s="3"/>
      <c r="DR10" s="152" t="s">
        <v>10</v>
      </c>
      <c r="DS10" s="39" t="s">
        <v>10</v>
      </c>
      <c r="DT10" s="3"/>
      <c r="DU10" s="152" t="s">
        <v>10</v>
      </c>
      <c r="DV10" s="39" t="s">
        <v>10</v>
      </c>
      <c r="DW10" s="3"/>
      <c r="DX10" s="152" t="s">
        <v>10</v>
      </c>
      <c r="DY10" s="39" t="s">
        <v>10</v>
      </c>
      <c r="DZ10" s="3"/>
      <c r="EA10" s="152" t="s">
        <v>10</v>
      </c>
      <c r="EB10" s="39" t="s">
        <v>10</v>
      </c>
      <c r="EC10" s="3"/>
      <c r="ED10" s="152" t="s">
        <v>10</v>
      </c>
      <c r="EE10" s="39" t="s">
        <v>10</v>
      </c>
      <c r="EF10" s="3"/>
      <c r="EG10" s="152" t="s">
        <v>10</v>
      </c>
      <c r="EH10" s="39" t="s">
        <v>10</v>
      </c>
      <c r="EI10" s="3"/>
      <c r="EJ10" s="152" t="s">
        <v>10</v>
      </c>
      <c r="EK10" s="39" t="s">
        <v>10</v>
      </c>
      <c r="EL10" s="3"/>
      <c r="EM10" s="152" t="s">
        <v>10</v>
      </c>
      <c r="EN10" s="39" t="s">
        <v>10</v>
      </c>
      <c r="EO10" s="3"/>
      <c r="EP10" s="152" t="s">
        <v>10</v>
      </c>
      <c r="EQ10" s="39" t="s">
        <v>10</v>
      </c>
      <c r="ER10" s="3"/>
      <c r="ES10" s="152" t="s">
        <v>10</v>
      </c>
      <c r="ET10" s="39" t="s">
        <v>10</v>
      </c>
      <c r="EU10" s="3"/>
    </row>
    <row r="11" spans="1:151" ht="13.5" thickBot="1" x14ac:dyDescent="0.25">
      <c r="A11" s="3"/>
      <c r="B11" s="161" t="s">
        <v>139</v>
      </c>
      <c r="C11" s="146" t="s">
        <v>148</v>
      </c>
      <c r="D11" s="3"/>
      <c r="E11" s="161" t="s">
        <v>139</v>
      </c>
      <c r="F11" s="146" t="s">
        <v>148</v>
      </c>
      <c r="G11" s="3"/>
      <c r="H11" s="161" t="s">
        <v>139</v>
      </c>
      <c r="I11" s="146" t="s">
        <v>148</v>
      </c>
      <c r="J11" s="3"/>
      <c r="K11" s="161" t="s">
        <v>139</v>
      </c>
      <c r="L11" s="146" t="s">
        <v>148</v>
      </c>
      <c r="M11" s="3"/>
      <c r="N11" s="161" t="s">
        <v>139</v>
      </c>
      <c r="O11" s="146" t="s">
        <v>148</v>
      </c>
      <c r="P11" s="3"/>
      <c r="Q11" s="161" t="s">
        <v>139</v>
      </c>
      <c r="R11" s="146" t="s">
        <v>148</v>
      </c>
      <c r="S11" s="3"/>
      <c r="T11" s="161" t="s">
        <v>139</v>
      </c>
      <c r="U11" s="146" t="s">
        <v>148</v>
      </c>
      <c r="V11" s="3"/>
      <c r="W11" s="161" t="s">
        <v>139</v>
      </c>
      <c r="X11" s="146" t="s">
        <v>148</v>
      </c>
      <c r="Y11" s="3"/>
      <c r="Z11" s="161" t="s">
        <v>139</v>
      </c>
      <c r="AA11" s="146" t="s">
        <v>148</v>
      </c>
      <c r="AB11" s="3"/>
      <c r="AC11" s="161" t="s">
        <v>139</v>
      </c>
      <c r="AD11" s="146" t="s">
        <v>148</v>
      </c>
      <c r="AE11" s="3"/>
      <c r="AF11" s="161" t="s">
        <v>139</v>
      </c>
      <c r="AG11" s="146" t="s">
        <v>148</v>
      </c>
      <c r="AH11" s="3"/>
      <c r="AI11" s="161" t="s">
        <v>139</v>
      </c>
      <c r="AJ11" s="146" t="s">
        <v>148</v>
      </c>
      <c r="AK11" s="3"/>
      <c r="AL11" s="161" t="s">
        <v>139</v>
      </c>
      <c r="AM11" s="146" t="s">
        <v>148</v>
      </c>
      <c r="AN11" s="3"/>
      <c r="AO11" s="161" t="s">
        <v>139</v>
      </c>
      <c r="AP11" s="146" t="s">
        <v>148</v>
      </c>
      <c r="AQ11" s="3"/>
      <c r="AR11" s="161" t="s">
        <v>139</v>
      </c>
      <c r="AS11" s="146" t="s">
        <v>148</v>
      </c>
      <c r="AT11" s="3"/>
      <c r="AU11" s="161" t="s">
        <v>139</v>
      </c>
      <c r="AV11" s="146" t="s">
        <v>148</v>
      </c>
      <c r="AW11" s="3"/>
      <c r="AX11" s="161" t="s">
        <v>139</v>
      </c>
      <c r="AY11" s="146" t="s">
        <v>148</v>
      </c>
      <c r="AZ11" s="3"/>
      <c r="BA11" s="161" t="s">
        <v>139</v>
      </c>
      <c r="BB11" s="146" t="s">
        <v>148</v>
      </c>
      <c r="BC11" s="3"/>
      <c r="BD11" s="161" t="s">
        <v>139</v>
      </c>
      <c r="BE11" s="146" t="s">
        <v>148</v>
      </c>
      <c r="BF11" s="3"/>
      <c r="BG11" s="161" t="s">
        <v>139</v>
      </c>
      <c r="BH11" s="146" t="s">
        <v>148</v>
      </c>
      <c r="BI11" s="3"/>
      <c r="BJ11" s="161" t="s">
        <v>139</v>
      </c>
      <c r="BK11" s="146" t="s">
        <v>148</v>
      </c>
      <c r="BL11" s="3"/>
      <c r="BM11" s="161" t="s">
        <v>139</v>
      </c>
      <c r="BN11" s="146" t="s">
        <v>148</v>
      </c>
      <c r="BO11" s="3"/>
      <c r="BP11" s="161" t="s">
        <v>139</v>
      </c>
      <c r="BQ11" s="146" t="s">
        <v>148</v>
      </c>
      <c r="BR11" s="3"/>
      <c r="BS11" s="161" t="s">
        <v>139</v>
      </c>
      <c r="BT11" s="146" t="s">
        <v>148</v>
      </c>
      <c r="BU11" s="3"/>
      <c r="BV11" s="161" t="s">
        <v>139</v>
      </c>
      <c r="BW11" s="146" t="s">
        <v>148</v>
      </c>
      <c r="BX11" s="3"/>
      <c r="BY11" s="161" t="s">
        <v>139</v>
      </c>
      <c r="BZ11" s="146" t="s">
        <v>148</v>
      </c>
      <c r="CA11" s="3"/>
      <c r="CB11" s="161" t="s">
        <v>139</v>
      </c>
      <c r="CC11" s="146" t="s">
        <v>148</v>
      </c>
      <c r="CD11" s="3"/>
      <c r="CE11" s="161" t="s">
        <v>139</v>
      </c>
      <c r="CF11" s="146" t="s">
        <v>148</v>
      </c>
      <c r="CG11" s="3"/>
      <c r="CH11" s="161" t="s">
        <v>139</v>
      </c>
      <c r="CI11" s="146" t="s">
        <v>148</v>
      </c>
      <c r="CJ11" s="3"/>
      <c r="CK11" s="161" t="s">
        <v>139</v>
      </c>
      <c r="CL11" s="146" t="s">
        <v>148</v>
      </c>
      <c r="CM11" s="3"/>
      <c r="CN11" s="161" t="s">
        <v>139</v>
      </c>
      <c r="CO11" s="146" t="s">
        <v>148</v>
      </c>
      <c r="CP11" s="3"/>
      <c r="CQ11" s="161" t="s">
        <v>139</v>
      </c>
      <c r="CR11" s="146" t="s">
        <v>148</v>
      </c>
      <c r="CS11" s="3"/>
      <c r="CT11" s="161" t="s">
        <v>139</v>
      </c>
      <c r="CU11" s="146" t="s">
        <v>148</v>
      </c>
      <c r="CV11" s="3"/>
      <c r="CW11" s="161" t="s">
        <v>139</v>
      </c>
      <c r="CX11" s="146" t="s">
        <v>148</v>
      </c>
      <c r="CY11" s="3"/>
      <c r="CZ11" s="161" t="s">
        <v>139</v>
      </c>
      <c r="DA11" s="146" t="s">
        <v>148</v>
      </c>
      <c r="DB11" s="3"/>
      <c r="DC11" s="161" t="s">
        <v>139</v>
      </c>
      <c r="DD11" s="146" t="s">
        <v>148</v>
      </c>
      <c r="DE11" s="3"/>
      <c r="DF11" s="161" t="s">
        <v>139</v>
      </c>
      <c r="DG11" s="146" t="s">
        <v>148</v>
      </c>
      <c r="DH11" s="3"/>
      <c r="DI11" s="161" t="s">
        <v>139</v>
      </c>
      <c r="DJ11" s="146" t="s">
        <v>148</v>
      </c>
      <c r="DK11" s="3"/>
      <c r="DL11" s="161" t="s">
        <v>139</v>
      </c>
      <c r="DM11" s="146" t="s">
        <v>148</v>
      </c>
      <c r="DN11" s="3"/>
      <c r="DO11" s="161" t="s">
        <v>139</v>
      </c>
      <c r="DP11" s="146" t="s">
        <v>148</v>
      </c>
      <c r="DQ11" s="3"/>
      <c r="DR11" s="161" t="s">
        <v>139</v>
      </c>
      <c r="DS11" s="146" t="s">
        <v>148</v>
      </c>
      <c r="DT11" s="3"/>
      <c r="DU11" s="161" t="s">
        <v>139</v>
      </c>
      <c r="DV11" s="146" t="s">
        <v>148</v>
      </c>
      <c r="DW11" s="3"/>
      <c r="DX11" s="161" t="s">
        <v>139</v>
      </c>
      <c r="DY11" s="146" t="s">
        <v>148</v>
      </c>
      <c r="DZ11" s="3"/>
      <c r="EA11" s="161" t="s">
        <v>139</v>
      </c>
      <c r="EB11" s="146" t="s">
        <v>148</v>
      </c>
      <c r="EC11" s="3"/>
      <c r="ED11" s="161" t="s">
        <v>139</v>
      </c>
      <c r="EE11" s="146" t="s">
        <v>148</v>
      </c>
      <c r="EF11" s="3"/>
      <c r="EG11" s="161" t="s">
        <v>139</v>
      </c>
      <c r="EH11" s="146" t="s">
        <v>148</v>
      </c>
      <c r="EI11" s="3"/>
      <c r="EJ11" s="161" t="s">
        <v>139</v>
      </c>
      <c r="EK11" s="146" t="s">
        <v>148</v>
      </c>
      <c r="EL11" s="3"/>
      <c r="EM11" s="161" t="s">
        <v>139</v>
      </c>
      <c r="EN11" s="146" t="s">
        <v>148</v>
      </c>
      <c r="EO11" s="3"/>
      <c r="EP11" s="161" t="s">
        <v>139</v>
      </c>
      <c r="EQ11" s="146" t="s">
        <v>148</v>
      </c>
      <c r="ER11" s="3"/>
      <c r="ES11" s="161" t="s">
        <v>139</v>
      </c>
      <c r="ET11" s="146" t="s">
        <v>148</v>
      </c>
      <c r="EU11" s="3"/>
    </row>
    <row r="12" spans="1:151" x14ac:dyDescent="0.2">
      <c r="A12" s="3"/>
      <c r="B12" s="107" t="s">
        <v>178</v>
      </c>
      <c r="C12" s="104"/>
      <c r="D12" s="32"/>
      <c r="E12" s="107" t="s">
        <v>179</v>
      </c>
      <c r="F12" s="104"/>
      <c r="G12" s="32"/>
      <c r="H12" s="107" t="s">
        <v>180</v>
      </c>
      <c r="I12" s="104"/>
      <c r="J12" s="32"/>
      <c r="K12" s="107"/>
      <c r="L12" s="104"/>
      <c r="M12" s="32"/>
      <c r="N12" s="107" t="s">
        <v>181</v>
      </c>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149</v>
      </c>
      <c r="C22" s="165" t="s">
        <v>121</v>
      </c>
      <c r="D22" s="3"/>
      <c r="E22" s="88" t="s">
        <v>149</v>
      </c>
      <c r="F22" s="165" t="s">
        <v>121</v>
      </c>
      <c r="G22" s="3"/>
      <c r="H22" s="88" t="s">
        <v>149</v>
      </c>
      <c r="I22" s="165" t="s">
        <v>121</v>
      </c>
      <c r="J22" s="3"/>
      <c r="K22" s="88" t="s">
        <v>149</v>
      </c>
      <c r="L22" s="165" t="s">
        <v>121</v>
      </c>
      <c r="M22" s="3"/>
      <c r="N22" s="88" t="s">
        <v>149</v>
      </c>
      <c r="O22" s="165" t="s">
        <v>121</v>
      </c>
      <c r="P22" s="3"/>
      <c r="Q22" s="88" t="s">
        <v>149</v>
      </c>
      <c r="R22" s="165" t="s">
        <v>121</v>
      </c>
      <c r="S22" s="3"/>
      <c r="T22" s="88" t="s">
        <v>149</v>
      </c>
      <c r="U22" s="165" t="s">
        <v>121</v>
      </c>
      <c r="V22" s="3"/>
      <c r="W22" s="88" t="s">
        <v>149</v>
      </c>
      <c r="X22" s="165" t="s">
        <v>121</v>
      </c>
      <c r="Y22" s="3"/>
      <c r="Z22" s="88" t="s">
        <v>149</v>
      </c>
      <c r="AA22" s="165" t="s">
        <v>121</v>
      </c>
      <c r="AB22" s="3"/>
      <c r="AC22" s="88" t="s">
        <v>149</v>
      </c>
      <c r="AD22" s="165" t="s">
        <v>121</v>
      </c>
      <c r="AE22" s="3"/>
      <c r="AF22" s="88" t="s">
        <v>149</v>
      </c>
      <c r="AG22" s="165" t="s">
        <v>121</v>
      </c>
      <c r="AH22" s="3"/>
      <c r="AI22" s="88" t="s">
        <v>149</v>
      </c>
      <c r="AJ22" s="165" t="s">
        <v>121</v>
      </c>
      <c r="AK22" s="3"/>
      <c r="AL22" s="88" t="s">
        <v>149</v>
      </c>
      <c r="AM22" s="165" t="s">
        <v>121</v>
      </c>
      <c r="AN22" s="3"/>
      <c r="AO22" s="88" t="s">
        <v>149</v>
      </c>
      <c r="AP22" s="165" t="s">
        <v>121</v>
      </c>
      <c r="AQ22" s="3"/>
      <c r="AR22" s="88" t="s">
        <v>149</v>
      </c>
      <c r="AS22" s="165" t="s">
        <v>121</v>
      </c>
      <c r="AT22" s="3"/>
      <c r="AU22" s="88" t="s">
        <v>149</v>
      </c>
      <c r="AV22" s="165" t="s">
        <v>121</v>
      </c>
      <c r="AW22" s="3"/>
      <c r="AX22" s="88" t="s">
        <v>149</v>
      </c>
      <c r="AY22" s="165" t="s">
        <v>121</v>
      </c>
      <c r="AZ22" s="3"/>
      <c r="BA22" s="88" t="s">
        <v>149</v>
      </c>
      <c r="BB22" s="165" t="s">
        <v>121</v>
      </c>
      <c r="BC22" s="3"/>
      <c r="BD22" s="88" t="s">
        <v>149</v>
      </c>
      <c r="BE22" s="165" t="s">
        <v>121</v>
      </c>
      <c r="BF22" s="3"/>
      <c r="BG22" s="88" t="s">
        <v>149</v>
      </c>
      <c r="BH22" s="165" t="s">
        <v>121</v>
      </c>
      <c r="BI22" s="3"/>
      <c r="BJ22" s="88" t="s">
        <v>149</v>
      </c>
      <c r="BK22" s="165" t="s">
        <v>121</v>
      </c>
      <c r="BL22" s="3"/>
      <c r="BM22" s="88" t="s">
        <v>149</v>
      </c>
      <c r="BN22" s="165" t="s">
        <v>121</v>
      </c>
      <c r="BO22" s="3"/>
      <c r="BP22" s="88" t="s">
        <v>149</v>
      </c>
      <c r="BQ22" s="165" t="s">
        <v>121</v>
      </c>
      <c r="BR22" s="3"/>
      <c r="BS22" s="88" t="s">
        <v>149</v>
      </c>
      <c r="BT22" s="165" t="s">
        <v>121</v>
      </c>
      <c r="BU22" s="3"/>
      <c r="BV22" s="88" t="s">
        <v>149</v>
      </c>
      <c r="BW22" s="165" t="s">
        <v>121</v>
      </c>
      <c r="BX22" s="3"/>
      <c r="BY22" s="88" t="s">
        <v>149</v>
      </c>
      <c r="BZ22" s="165" t="s">
        <v>121</v>
      </c>
      <c r="CA22" s="3"/>
      <c r="CB22" s="88" t="s">
        <v>149</v>
      </c>
      <c r="CC22" s="165" t="s">
        <v>121</v>
      </c>
      <c r="CD22" s="3"/>
      <c r="CE22" s="88" t="s">
        <v>149</v>
      </c>
      <c r="CF22" s="165" t="s">
        <v>121</v>
      </c>
      <c r="CG22" s="3"/>
      <c r="CH22" s="88" t="s">
        <v>149</v>
      </c>
      <c r="CI22" s="165" t="s">
        <v>121</v>
      </c>
      <c r="CJ22" s="3"/>
      <c r="CK22" s="88" t="s">
        <v>149</v>
      </c>
      <c r="CL22" s="165" t="s">
        <v>121</v>
      </c>
      <c r="CM22" s="3"/>
      <c r="CN22" s="88" t="s">
        <v>149</v>
      </c>
      <c r="CO22" s="165" t="s">
        <v>121</v>
      </c>
      <c r="CP22" s="3"/>
      <c r="CQ22" s="88" t="s">
        <v>149</v>
      </c>
      <c r="CR22" s="165" t="s">
        <v>121</v>
      </c>
      <c r="CS22" s="3"/>
      <c r="CT22" s="88" t="s">
        <v>149</v>
      </c>
      <c r="CU22" s="165" t="s">
        <v>121</v>
      </c>
      <c r="CV22" s="3"/>
      <c r="CW22" s="88" t="s">
        <v>149</v>
      </c>
      <c r="CX22" s="165" t="s">
        <v>121</v>
      </c>
      <c r="CY22" s="3"/>
      <c r="CZ22" s="88" t="s">
        <v>149</v>
      </c>
      <c r="DA22" s="165" t="s">
        <v>121</v>
      </c>
      <c r="DB22" s="3"/>
      <c r="DC22" s="88" t="s">
        <v>149</v>
      </c>
      <c r="DD22" s="165" t="s">
        <v>121</v>
      </c>
      <c r="DE22" s="3"/>
      <c r="DF22" s="88" t="s">
        <v>149</v>
      </c>
      <c r="DG22" s="165" t="s">
        <v>121</v>
      </c>
      <c r="DH22" s="3"/>
      <c r="DI22" s="88" t="s">
        <v>149</v>
      </c>
      <c r="DJ22" s="165" t="s">
        <v>121</v>
      </c>
      <c r="DK22" s="3"/>
      <c r="DL22" s="88" t="s">
        <v>149</v>
      </c>
      <c r="DM22" s="165" t="s">
        <v>121</v>
      </c>
      <c r="DN22" s="3"/>
      <c r="DO22" s="88" t="s">
        <v>149</v>
      </c>
      <c r="DP22" s="165" t="s">
        <v>121</v>
      </c>
      <c r="DQ22" s="3"/>
      <c r="DR22" s="88" t="s">
        <v>149</v>
      </c>
      <c r="DS22" s="165" t="s">
        <v>121</v>
      </c>
      <c r="DT22" s="3"/>
      <c r="DU22" s="88" t="s">
        <v>149</v>
      </c>
      <c r="DV22" s="165" t="s">
        <v>121</v>
      </c>
      <c r="DW22" s="3"/>
      <c r="DX22" s="88" t="s">
        <v>149</v>
      </c>
      <c r="DY22" s="165" t="s">
        <v>121</v>
      </c>
      <c r="DZ22" s="3"/>
      <c r="EA22" s="88" t="s">
        <v>149</v>
      </c>
      <c r="EB22" s="165" t="s">
        <v>121</v>
      </c>
      <c r="EC22" s="3"/>
      <c r="ED22" s="88" t="s">
        <v>149</v>
      </c>
      <c r="EE22" s="165" t="s">
        <v>121</v>
      </c>
      <c r="EF22" s="3"/>
      <c r="EG22" s="88" t="s">
        <v>149</v>
      </c>
      <c r="EH22" s="165" t="s">
        <v>121</v>
      </c>
      <c r="EI22" s="3"/>
      <c r="EJ22" s="88" t="s">
        <v>149</v>
      </c>
      <c r="EK22" s="165" t="s">
        <v>121</v>
      </c>
      <c r="EL22" s="3"/>
      <c r="EM22" s="88" t="s">
        <v>149</v>
      </c>
      <c r="EN22" s="165" t="s">
        <v>121</v>
      </c>
      <c r="EO22" s="3"/>
      <c r="EP22" s="88" t="s">
        <v>149</v>
      </c>
      <c r="EQ22" s="165" t="s">
        <v>121</v>
      </c>
      <c r="ER22" s="3"/>
      <c r="ES22" s="88" t="s">
        <v>149</v>
      </c>
      <c r="ET22" s="165"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L9">
      <formula1>DistributionsBuffersInitialObjects</formula1>
    </dataValidation>
    <dataValidation type="list" allowBlank="1" sqref="O8">
      <formula1>DistributionsBufferCap</formula1>
    </dataValidation>
    <dataValidation type="list" allowBlank="1" sqref="O9">
      <formula1>DistributionsBuffersInitialObjects</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F12">
      <formula1>WSNumOutputObjects</formula1>
    </dataValidation>
    <dataValidation type="list" allowBlank="1" sqref="I8">
      <formula1>DistributionsBufferCap</formula1>
    </dataValidation>
    <dataValidation type="list" allowBlank="1" sqref="I9">
      <formula1>DistributionsBuffersInitialObjects</formula1>
    </dataValidation>
    <dataValidation type="list" allowBlank="1" sqref="E13">
      <formula1>NameLabelRange</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F22">
      <formula1>BufferDetailsYesNo</formula1>
    </dataValidation>
    <dataValidation type="list" allowBlank="1" sqref="C22">
      <formula1>BufferDetailsYesNo</formula1>
    </dataValidation>
    <dataValidation type="list" allowBlank="1" sqref="C8">
      <formula1>DistributionsBufferCap</formula1>
    </dataValidation>
    <dataValidation type="list" allowBlank="1" sqref="C9">
      <formula1>DistributionsBuffersInitialObjects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F8">
      <formula1>DistributionsBufferCap</formula1>
    </dataValidation>
    <dataValidation type="list" allowBlank="1" sqref="F9">
      <formula1>DistributionsBuffersInitialObjects</formula1>
    </dataValidation>
    <dataValidation type="list" allowBlank="1" sqref="C7">
      <formula1>NameLabelRange</formula1>
    </dataValidation>
    <dataValidation type="list" allowBlank="1" sqref="F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B12">
      <formula1>NameLabelRange</formula1>
    </dataValidation>
    <dataValidation type="list" allowBlank="1" sqref="E12">
      <formula1>NameLabelRange</formula1>
    </dataValidation>
    <dataValidation type="list" allowBlank="1" sqref="H12">
      <formula1>NameLabelRange</formula1>
    </dataValidation>
    <dataValidation type="list" allowBlank="1" sqref="N12">
      <formula1>NameLabelRange</formula1>
    </dataValidation>
    <dataValidation type="list" allowBlank="1" sqref="L8">
      <formula1>DistributionsBufferCap</formula1>
    </dataValidation>
    <dataValidation type="list" allowBlank="1" sqref="R8">
      <formula1>DistributionsBufferCap</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H12" sqref="H12"/>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136</v>
      </c>
      <c r="C7" s="104" t="s">
        <v>182</v>
      </c>
      <c r="D7" s="3"/>
      <c r="E7" s="118" t="s">
        <v>136</v>
      </c>
      <c r="F7" s="104" t="s">
        <v>183</v>
      </c>
      <c r="G7" s="3"/>
      <c r="H7" s="118" t="s">
        <v>136</v>
      </c>
      <c r="I7" s="104" t="s">
        <v>184</v>
      </c>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61" t="s">
        <v>150</v>
      </c>
      <c r="C9" s="146" t="s">
        <v>151</v>
      </c>
      <c r="D9" s="3"/>
      <c r="E9" s="161" t="s">
        <v>150</v>
      </c>
      <c r="F9" s="146" t="s">
        <v>151</v>
      </c>
      <c r="G9" s="3"/>
      <c r="H9" s="161" t="s">
        <v>150</v>
      </c>
      <c r="I9" s="146" t="s">
        <v>151</v>
      </c>
      <c r="J9" s="3"/>
      <c r="K9" s="161" t="s">
        <v>150</v>
      </c>
      <c r="L9" s="146" t="s">
        <v>151</v>
      </c>
      <c r="M9" s="3"/>
      <c r="N9" s="161" t="s">
        <v>150</v>
      </c>
      <c r="O9" s="146" t="s">
        <v>151</v>
      </c>
      <c r="P9" s="3"/>
      <c r="Q9" s="161" t="s">
        <v>150</v>
      </c>
      <c r="R9" s="146" t="s">
        <v>151</v>
      </c>
      <c r="S9" s="3"/>
      <c r="T9" s="161" t="s">
        <v>150</v>
      </c>
      <c r="U9" s="146" t="s">
        <v>151</v>
      </c>
      <c r="V9" s="3"/>
      <c r="W9" s="161" t="s">
        <v>150</v>
      </c>
      <c r="X9" s="146" t="s">
        <v>151</v>
      </c>
      <c r="Y9" s="3"/>
      <c r="Z9" s="161" t="s">
        <v>150</v>
      </c>
      <c r="AA9" s="146" t="s">
        <v>151</v>
      </c>
      <c r="AB9" s="3"/>
      <c r="AC9" s="161" t="s">
        <v>150</v>
      </c>
      <c r="AD9" s="146" t="s">
        <v>151</v>
      </c>
      <c r="AE9" s="3"/>
      <c r="AF9" s="161" t="s">
        <v>150</v>
      </c>
      <c r="AG9" s="146" t="s">
        <v>151</v>
      </c>
      <c r="AH9" s="3"/>
      <c r="AI9" s="161" t="s">
        <v>150</v>
      </c>
      <c r="AJ9" s="146" t="s">
        <v>151</v>
      </c>
      <c r="AK9" s="3"/>
      <c r="AL9" s="161" t="s">
        <v>150</v>
      </c>
      <c r="AM9" s="146" t="s">
        <v>151</v>
      </c>
      <c r="AN9" s="3"/>
      <c r="AO9" s="161" t="s">
        <v>150</v>
      </c>
      <c r="AP9" s="146" t="s">
        <v>151</v>
      </c>
      <c r="AQ9" s="3"/>
      <c r="AR9" s="161" t="s">
        <v>150</v>
      </c>
      <c r="AS9" s="146" t="s">
        <v>151</v>
      </c>
      <c r="AT9" s="3"/>
      <c r="AU9" s="161" t="s">
        <v>150</v>
      </c>
      <c r="AV9" s="146" t="s">
        <v>151</v>
      </c>
      <c r="AW9" s="3"/>
      <c r="AX9" s="161" t="s">
        <v>150</v>
      </c>
      <c r="AY9" s="146" t="s">
        <v>151</v>
      </c>
      <c r="AZ9" s="3"/>
      <c r="BA9" s="161" t="s">
        <v>150</v>
      </c>
      <c r="BB9" s="146" t="s">
        <v>151</v>
      </c>
      <c r="BC9" s="3"/>
      <c r="BD9" s="161" t="s">
        <v>150</v>
      </c>
      <c r="BE9" s="146" t="s">
        <v>151</v>
      </c>
      <c r="BF9" s="3"/>
      <c r="BG9" s="161" t="s">
        <v>150</v>
      </c>
      <c r="BH9" s="146" t="s">
        <v>151</v>
      </c>
      <c r="BI9" s="3"/>
      <c r="BJ9" s="161" t="s">
        <v>150</v>
      </c>
      <c r="BK9" s="146" t="s">
        <v>151</v>
      </c>
      <c r="BL9" s="3"/>
      <c r="BM9" s="161" t="s">
        <v>150</v>
      </c>
      <c r="BN9" s="146" t="s">
        <v>151</v>
      </c>
      <c r="BO9" s="3"/>
      <c r="BP9" s="161" t="s">
        <v>150</v>
      </c>
      <c r="BQ9" s="146" t="s">
        <v>151</v>
      </c>
      <c r="BR9" s="3"/>
      <c r="BS9" s="161" t="s">
        <v>150</v>
      </c>
      <c r="BT9" s="146" t="s">
        <v>151</v>
      </c>
      <c r="BU9" s="3"/>
      <c r="BV9" s="161" t="s">
        <v>150</v>
      </c>
      <c r="BW9" s="146" t="s">
        <v>151</v>
      </c>
      <c r="BX9" s="3"/>
      <c r="BY9" s="161" t="s">
        <v>150</v>
      </c>
      <c r="BZ9" s="146" t="s">
        <v>151</v>
      </c>
      <c r="CA9" s="3"/>
      <c r="CB9" s="161" t="s">
        <v>150</v>
      </c>
      <c r="CC9" s="146" t="s">
        <v>151</v>
      </c>
      <c r="CD9" s="3"/>
      <c r="CE9" s="161" t="s">
        <v>150</v>
      </c>
      <c r="CF9" s="146" t="s">
        <v>151</v>
      </c>
      <c r="CG9" s="3"/>
      <c r="CH9" s="161" t="s">
        <v>150</v>
      </c>
      <c r="CI9" s="146" t="s">
        <v>151</v>
      </c>
      <c r="CJ9" s="3"/>
      <c r="CK9" s="161" t="s">
        <v>150</v>
      </c>
      <c r="CL9" s="146" t="s">
        <v>151</v>
      </c>
      <c r="CM9" s="3"/>
      <c r="CN9" s="161" t="s">
        <v>150</v>
      </c>
      <c r="CO9" s="146" t="s">
        <v>151</v>
      </c>
      <c r="CP9" s="3"/>
      <c r="CQ9" s="161" t="s">
        <v>150</v>
      </c>
      <c r="CR9" s="146" t="s">
        <v>151</v>
      </c>
      <c r="CS9" s="3"/>
      <c r="CT9" s="161" t="s">
        <v>150</v>
      </c>
      <c r="CU9" s="146" t="s">
        <v>151</v>
      </c>
      <c r="CV9" s="3"/>
      <c r="CW9" s="161" t="s">
        <v>150</v>
      </c>
      <c r="CX9" s="146" t="s">
        <v>151</v>
      </c>
      <c r="CY9" s="3"/>
      <c r="CZ9" s="161" t="s">
        <v>150</v>
      </c>
      <c r="DA9" s="146" t="s">
        <v>151</v>
      </c>
      <c r="DB9" s="3"/>
      <c r="DC9" s="161" t="s">
        <v>150</v>
      </c>
      <c r="DD9" s="146" t="s">
        <v>151</v>
      </c>
      <c r="DE9" s="3"/>
      <c r="DF9" s="161" t="s">
        <v>150</v>
      </c>
      <c r="DG9" s="146" t="s">
        <v>151</v>
      </c>
      <c r="DH9" s="3"/>
      <c r="DI9" s="161" t="s">
        <v>150</v>
      </c>
      <c r="DJ9" s="146" t="s">
        <v>151</v>
      </c>
      <c r="DK9" s="3"/>
      <c r="DL9" s="161" t="s">
        <v>150</v>
      </c>
      <c r="DM9" s="146" t="s">
        <v>151</v>
      </c>
      <c r="DN9" s="3"/>
      <c r="DO9" s="161" t="s">
        <v>150</v>
      </c>
      <c r="DP9" s="146" t="s">
        <v>151</v>
      </c>
      <c r="DQ9" s="3"/>
      <c r="DR9" s="161" t="s">
        <v>150</v>
      </c>
      <c r="DS9" s="146" t="s">
        <v>151</v>
      </c>
      <c r="DT9" s="3"/>
      <c r="DU9" s="161" t="s">
        <v>150</v>
      </c>
      <c r="DV9" s="146" t="s">
        <v>151</v>
      </c>
      <c r="DW9" s="3"/>
      <c r="DX9" s="161" t="s">
        <v>150</v>
      </c>
      <c r="DY9" s="146" t="s">
        <v>151</v>
      </c>
      <c r="DZ9" s="3"/>
      <c r="EA9" s="161" t="s">
        <v>150</v>
      </c>
      <c r="EB9" s="146" t="s">
        <v>151</v>
      </c>
      <c r="EC9" s="3"/>
      <c r="ED9" s="161" t="s">
        <v>150</v>
      </c>
      <c r="EE9" s="146" t="s">
        <v>151</v>
      </c>
      <c r="EF9" s="3"/>
      <c r="EG9" s="161" t="s">
        <v>150</v>
      </c>
      <c r="EH9" s="146" t="s">
        <v>151</v>
      </c>
      <c r="EI9" s="3"/>
      <c r="EJ9" s="161" t="s">
        <v>150</v>
      </c>
      <c r="EK9" s="146" t="s">
        <v>151</v>
      </c>
      <c r="EL9" s="3"/>
      <c r="EM9" s="161" t="s">
        <v>150</v>
      </c>
      <c r="EN9" s="146" t="s">
        <v>151</v>
      </c>
      <c r="EO9" s="3"/>
      <c r="EP9" s="161" t="s">
        <v>150</v>
      </c>
      <c r="EQ9" s="146" t="s">
        <v>151</v>
      </c>
      <c r="ER9" s="3"/>
      <c r="ES9" s="161" t="s">
        <v>150</v>
      </c>
      <c r="ET9" s="146" t="s">
        <v>151</v>
      </c>
      <c r="EU9" s="3"/>
    </row>
    <row r="10" spans="1:151" x14ac:dyDescent="0.2">
      <c r="A10" s="3"/>
      <c r="B10" s="107" t="s">
        <v>173</v>
      </c>
      <c r="C10" s="104"/>
      <c r="D10" s="3"/>
      <c r="E10" s="107" t="s">
        <v>175</v>
      </c>
      <c r="F10" s="35"/>
      <c r="G10" s="3"/>
      <c r="H10" s="107" t="s">
        <v>175</v>
      </c>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t="s">
        <v>174</v>
      </c>
      <c r="C11" s="154"/>
      <c r="D11" s="3"/>
      <c r="E11" s="108" t="s">
        <v>181</v>
      </c>
      <c r="F11" s="55"/>
      <c r="G11" s="3"/>
      <c r="H11" s="108" t="s">
        <v>177</v>
      </c>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t="s">
        <v>175</v>
      </c>
      <c r="C12" s="55"/>
      <c r="D12" s="3"/>
      <c r="E12" s="108" t="s">
        <v>177</v>
      </c>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t="s">
        <v>176</v>
      </c>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C10">
      <formula1>WSNumOutputObjects</formula1>
    </dataValidation>
    <dataValidation type="list" allowBlank="1" sqref="C11">
      <formula1>WSNumOutputObjects</formula1>
    </dataValidation>
    <dataValidation type="list" allowBlank="1" sqref="C7">
      <formula1>NameLabelRange</formula1>
    </dataValidation>
    <dataValidation type="list" allowBlank="1" sqref="F7">
      <formula1>NameLabelRange</formula1>
    </dataValidation>
    <dataValidation type="list" allowBlank="1" sqref="I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H10">
      <formula1>NameLabelRange</formula1>
    </dataValidation>
    <dataValidation type="list" allowBlank="1" sqref="H11">
      <formula1>NameLabelRange</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1" sqref="C11"/>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110</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53"/>
      <c r="E10" s="153"/>
      <c r="F10" s="145"/>
      <c r="M10" s="125"/>
    </row>
    <row r="11" spans="1:13" x14ac:dyDescent="0.2">
      <c r="A11" s="129"/>
      <c r="B11" s="126">
        <v>5</v>
      </c>
      <c r="C11" s="111"/>
      <c r="D11" s="153"/>
      <c r="E11" s="153"/>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Door</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Desk Line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Desk Line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Ambulatory Line</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X-ray Line</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Hospital</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Lab Line</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Release</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Unlimited</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Unlimited</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t="str">
        <f>IF(INDEX(Buffers!$A$6:$EV$21,'Data Val lists'!$A38,'Data Val lists'!D$34)="","",INDEX(Buffers!$A$6:$EV$21,'Data Val lists'!$A38,'Data Val lists'!D$34))</f>
        <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Desk</v>
      </c>
      <c r="D41" s="109" t="str">
        <f>IF(INDEX(Buffers!$A$6:$EV$21,'Data Val lists'!$A41,'Data Val lists'!D$34)="","",INDEX(Buffers!$A$6:$EV$21,'Data Val lists'!$A41,'Data Val lists'!D$34))</f>
        <v/>
      </c>
      <c r="E41" s="109" t="str">
        <f>IF(INDEX(Buffers!$A$6:$EV$21,'Data Val lists'!$A41,'Data Val lists'!E$34)="","",INDEX(Buffers!$A$6:$EV$21,'Data Val lists'!$A41,'Data Val lists'!E$34))</f>
        <v/>
      </c>
      <c r="F41" s="109" t="str">
        <f>IF(INDEX(Buffers!$A$6:$EV$21,'Data Val lists'!$A41,'Data Val lists'!F$34)="","",INDEX(Buffers!$A$6:$EV$21,'Data Val lists'!$A41,'Data Val lists'!F$34))</f>
        <v>Ambulatory</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X-ray</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Lab</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Desk DP</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X-ray DP</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Lab DP</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Ambulatory Line</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Hospital</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Hospital</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X-ray Line</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Lab</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Release</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Hospital</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Release</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Lab Line</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Desk</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Ambulatory</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X-ray</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Lab</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Desk DP</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Release</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X-ray DP</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Lab DP</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Door</v>
      </c>
      <c r="F93" t="s">
        <v>102</v>
      </c>
      <c r="G93" t="str">
        <f>IF(AND(COUNTBLANK($F$93:F93)=1,COUNTBLANK(F94)=0),F94,IF(COUNTBLANK($F$93:F93)=0,F93,""))</f>
        <v>Ambulatory</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F94" t="s">
        <v>179</v>
      </c>
      <c r="G94" t="str">
        <f>IF(AND(COUNTBLANK($F$93:F94)=1,COUNTBLANK(F95)=0),F95,IF(COUNTBLANK($F$93:F94)=0,F94,""))</f>
        <v>Ambulatory Line</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F95" t="s">
        <v>173</v>
      </c>
      <c r="G95" t="str">
        <f>IF(AND(COUNTBLANK($F$93:F95)=1,COUNTBLANK(F96)=0),F96,IF(COUNTBLANK($F$93:F95)=0,F95,""))</f>
        <v>Desk</v>
      </c>
      <c r="I95" s="89" t="s">
        <v>127</v>
      </c>
      <c r="N95" s="89" t="s">
        <v>127</v>
      </c>
      <c r="O95" s="89"/>
      <c r="Q95" s="89"/>
      <c r="R95" s="89" t="s">
        <v>127</v>
      </c>
      <c r="X95" s="89" t="s">
        <v>129</v>
      </c>
      <c r="AB95" s="89" t="s">
        <v>127</v>
      </c>
    </row>
    <row r="96" spans="1:251" x14ac:dyDescent="0.2">
      <c r="C96">
        <v>2</v>
      </c>
      <c r="D96">
        <f t="shared" si="1"/>
        <v>12</v>
      </c>
      <c r="E96" s="110" t="str">
        <f t="shared" si="0"/>
        <v/>
      </c>
      <c r="F96" t="s">
        <v>178</v>
      </c>
      <c r="G96" t="str">
        <f>IF(AND(COUNTBLANK($F$93:F96)=1,COUNTBLANK(F97)=0),F97,IF(COUNTBLANK($F$93:F96)=0,F96,""))</f>
        <v>Desk DP</v>
      </c>
      <c r="I96" s="89" t="s">
        <v>105</v>
      </c>
      <c r="N96" s="89" t="s">
        <v>105</v>
      </c>
      <c r="Q96" s="89"/>
      <c r="R96" s="89" t="s">
        <v>105</v>
      </c>
      <c r="AB96" s="89" t="s">
        <v>105</v>
      </c>
    </row>
    <row r="97" spans="3:28" x14ac:dyDescent="0.2">
      <c r="C97">
        <v>2</v>
      </c>
      <c r="D97">
        <f t="shared" si="1"/>
        <v>15</v>
      </c>
      <c r="E97" s="110" t="str">
        <f t="shared" si="0"/>
        <v/>
      </c>
      <c r="F97" t="s">
        <v>182</v>
      </c>
      <c r="G97" t="str">
        <f>IF(AND(COUNTBLANK($F$93:F97)=1,COUNTBLANK(F98)=0),F98,IF(COUNTBLANK($F$93:F97)=0,F97,""))</f>
        <v>Desk Line</v>
      </c>
      <c r="I97" s="89" t="s">
        <v>128</v>
      </c>
      <c r="N97" s="89" t="s">
        <v>128</v>
      </c>
      <c r="Q97" s="89"/>
      <c r="R97" s="89" t="s">
        <v>128</v>
      </c>
      <c r="AB97" s="89" t="s">
        <v>128</v>
      </c>
    </row>
    <row r="98" spans="3:28" x14ac:dyDescent="0.2">
      <c r="C98">
        <v>2</v>
      </c>
      <c r="D98">
        <f t="shared" si="1"/>
        <v>18</v>
      </c>
      <c r="E98" s="110" t="str">
        <f t="shared" si="0"/>
        <v/>
      </c>
      <c r="F98" t="s">
        <v>172</v>
      </c>
      <c r="G98" t="str">
        <f>IF(AND(COUNTBLANK($F$93:F98)=1,COUNTBLANK(F99)=0),F99,IF(COUNTBLANK($F$93:F98)=0,F98,""))</f>
        <v>Door</v>
      </c>
      <c r="I98" s="89" t="s">
        <v>117</v>
      </c>
      <c r="N98" s="89" t="s">
        <v>117</v>
      </c>
      <c r="Q98" s="89"/>
      <c r="R98" s="89" t="s">
        <v>131</v>
      </c>
      <c r="AB98" s="89" t="s">
        <v>129</v>
      </c>
    </row>
    <row r="99" spans="3:28" x14ac:dyDescent="0.2">
      <c r="C99">
        <v>2</v>
      </c>
      <c r="D99">
        <f t="shared" si="1"/>
        <v>21</v>
      </c>
      <c r="E99" s="110" t="str">
        <f t="shared" si="0"/>
        <v/>
      </c>
      <c r="F99" t="s">
        <v>156</v>
      </c>
      <c r="G99" t="str">
        <f>IF(AND(COUNTBLANK($F$93:F99)=1,COUNTBLANK(F100)=0),F100,IF(COUNTBLANK($F$93:F99)=0,F99,""))</f>
        <v>Hospital</v>
      </c>
      <c r="I99" s="89" t="s">
        <v>129</v>
      </c>
      <c r="N99" s="89" t="s">
        <v>129</v>
      </c>
      <c r="R99" s="89" t="s">
        <v>129</v>
      </c>
      <c r="AB99" s="89"/>
    </row>
    <row r="100" spans="3:28" x14ac:dyDescent="0.2">
      <c r="C100">
        <v>2</v>
      </c>
      <c r="D100">
        <f t="shared" si="1"/>
        <v>24</v>
      </c>
      <c r="E100" s="110" t="str">
        <f t="shared" si="0"/>
        <v/>
      </c>
      <c r="F100" t="s">
        <v>175</v>
      </c>
      <c r="G100" t="str">
        <f>IF(AND(COUNTBLANK($F$93:F100)=1,COUNTBLANK(F101)=0),F101,IF(COUNTBLANK($F$93:F100)=0,F100,""))</f>
        <v>Lab</v>
      </c>
      <c r="I100" s="89" t="s">
        <v>130</v>
      </c>
      <c r="N100" s="89" t="s">
        <v>130</v>
      </c>
      <c r="R100" s="89"/>
    </row>
    <row r="101" spans="3:28" x14ac:dyDescent="0.2">
      <c r="C101">
        <v>2</v>
      </c>
      <c r="D101">
        <f t="shared" si="1"/>
        <v>27</v>
      </c>
      <c r="E101" s="110" t="str">
        <f t="shared" si="0"/>
        <v/>
      </c>
      <c r="F101" t="s">
        <v>181</v>
      </c>
      <c r="G101" t="str">
        <f>IF(AND(COUNTBLANK($F$93:F101)=1,COUNTBLANK(F102)=0),F102,IF(COUNTBLANK($F$93:F101)=0,F101,""))</f>
        <v>Lab DP</v>
      </c>
      <c r="I101" s="89" t="s">
        <v>131</v>
      </c>
    </row>
    <row r="102" spans="3:28" x14ac:dyDescent="0.2">
      <c r="C102">
        <v>2</v>
      </c>
      <c r="D102">
        <f t="shared" si="1"/>
        <v>30</v>
      </c>
      <c r="E102" s="110" t="str">
        <f t="shared" si="0"/>
        <v/>
      </c>
      <c r="F102" t="s">
        <v>184</v>
      </c>
      <c r="G102" t="str">
        <f>IF(AND(COUNTBLANK($F$93:F102)=1,COUNTBLANK(F103)=0),F103,IF(COUNTBLANK($F$93:F102)=0,F102,""))</f>
        <v>Lab Line</v>
      </c>
    </row>
    <row r="103" spans="3:28" x14ac:dyDescent="0.2">
      <c r="C103">
        <v>2</v>
      </c>
      <c r="D103">
        <f t="shared" si="1"/>
        <v>33</v>
      </c>
      <c r="E103" s="110" t="str">
        <f t="shared" si="0"/>
        <v/>
      </c>
      <c r="F103" t="s">
        <v>176</v>
      </c>
      <c r="G103" t="str">
        <f>IF(AND(COUNTBLANK($F$93:F103)=1,COUNTBLANK(F104)=0),F104,IF(COUNTBLANK($F$93:F103)=0,F103,""))</f>
        <v>Release</v>
      </c>
    </row>
    <row r="104" spans="3:28" x14ac:dyDescent="0.2">
      <c r="C104">
        <v>2</v>
      </c>
      <c r="D104">
        <f t="shared" si="1"/>
        <v>36</v>
      </c>
      <c r="E104" s="110" t="str">
        <f t="shared" si="0"/>
        <v/>
      </c>
      <c r="F104" t="s">
        <v>177</v>
      </c>
      <c r="G104" t="str">
        <f>IF(AND(COUNTBLANK($F$93:F104)=1,COUNTBLANK(F105)=0),F105,IF(COUNTBLANK($F$93:F104)=0,F104,""))</f>
        <v>X-ray</v>
      </c>
    </row>
    <row r="105" spans="3:28" x14ac:dyDescent="0.2">
      <c r="C105">
        <v>2</v>
      </c>
      <c r="D105">
        <f t="shared" si="1"/>
        <v>39</v>
      </c>
      <c r="E105" s="110" t="str">
        <f t="shared" si="0"/>
        <v/>
      </c>
      <c r="F105" t="s">
        <v>180</v>
      </c>
      <c r="G105" t="str">
        <f>IF(AND(COUNTBLANK($F$93:F105)=1,COUNTBLANK(F106)=0),F106,IF(COUNTBLANK($F$93:F105)=0,F105,""))</f>
        <v>X-ray DP</v>
      </c>
    </row>
    <row r="106" spans="3:28" x14ac:dyDescent="0.2">
      <c r="C106">
        <v>2</v>
      </c>
      <c r="D106">
        <f t="shared" si="1"/>
        <v>42</v>
      </c>
      <c r="E106" s="110" t="str">
        <f t="shared" si="0"/>
        <v/>
      </c>
      <c r="F106" t="s">
        <v>183</v>
      </c>
      <c r="G106" t="str">
        <f>IF(AND(COUNTBLANK($F$93:F106)=1,COUNTBLANK(F107)=0),F107,IF(COUNTBLANK($F$93:F106)=0,F106,""))</f>
        <v>X-ray Line</v>
      </c>
    </row>
    <row r="107" spans="3:28" x14ac:dyDescent="0.2">
      <c r="C107">
        <v>2</v>
      </c>
      <c r="D107">
        <f t="shared" si="1"/>
        <v>45</v>
      </c>
      <c r="E107" s="110" t="str">
        <f t="shared" si="0"/>
        <v/>
      </c>
      <c r="F107" t="s">
        <v>174</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Desk Line</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Desk Line</v>
      </c>
      <c r="G693" t="str">
        <f>IF(AND(COUNTBLANK($F$93:F693)=1,COUNTBLANK(F694)=0),F694,IF(COUNTBLANK($F$93:F693)=0,F693,""))</f>
        <v/>
      </c>
    </row>
    <row r="694" spans="1:7" x14ac:dyDescent="0.2">
      <c r="A694" s="103" t="s">
        <v>99</v>
      </c>
      <c r="C694">
        <v>2</v>
      </c>
      <c r="D694">
        <f>3+D693</f>
        <v>6</v>
      </c>
      <c r="E694" s="110" t="str">
        <f t="shared" ref="E694:E757" si="29">INDEX($B$35:$EU$50,C694,D694)</f>
        <v>Ambulatory Line</v>
      </c>
      <c r="G694" t="str">
        <f>IF(AND(COUNTBLANK($F$93:F694)=1,COUNTBLANK(F695)=0),F695,IF(COUNTBLANK($F$93:F694)=0,F694,""))</f>
        <v/>
      </c>
    </row>
    <row r="695" spans="1:7" x14ac:dyDescent="0.2">
      <c r="C695">
        <v>2</v>
      </c>
      <c r="D695">
        <f t="shared" ref="D695:D731" si="30">3+D694</f>
        <v>9</v>
      </c>
      <c r="E695" s="110" t="str">
        <f t="shared" si="29"/>
        <v>X-ray Line</v>
      </c>
      <c r="G695" t="str">
        <f>IF(AND(COUNTBLANK($F$93:F695)=1,COUNTBLANK(F696)=0),F696,IF(COUNTBLANK($F$93:F695)=0,F695,""))</f>
        <v/>
      </c>
    </row>
    <row r="696" spans="1:7" x14ac:dyDescent="0.2">
      <c r="C696">
        <v>2</v>
      </c>
      <c r="D696">
        <f t="shared" si="30"/>
        <v>12</v>
      </c>
      <c r="E696" s="110" t="str">
        <f t="shared" si="29"/>
        <v>Hospital</v>
      </c>
      <c r="G696" t="str">
        <f>IF(AND(COUNTBLANK($F$93:F696)=1,COUNTBLANK(F697)=0),F697,IF(COUNTBLANK($F$93:F696)=0,F696,""))</f>
        <v/>
      </c>
    </row>
    <row r="697" spans="1:7" x14ac:dyDescent="0.2">
      <c r="C697">
        <v>2</v>
      </c>
      <c r="D697">
        <f t="shared" si="30"/>
        <v>15</v>
      </c>
      <c r="E697" s="110" t="str">
        <f t="shared" si="29"/>
        <v>Lab Line</v>
      </c>
      <c r="G697" t="str">
        <f>IF(AND(COUNTBLANK($F$93:F697)=1,COUNTBLANK(F698)=0),F698,IF(COUNTBLANK($F$93:F697)=0,F697,""))</f>
        <v/>
      </c>
    </row>
    <row r="698" spans="1:7" x14ac:dyDescent="0.2">
      <c r="C698">
        <v>2</v>
      </c>
      <c r="D698">
        <f t="shared" si="30"/>
        <v>18</v>
      </c>
      <c r="E698" s="110" t="str">
        <f t="shared" si="29"/>
        <v>Release</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Desk</v>
      </c>
      <c r="G743" t="str">
        <f>IF(AND(COUNTBLANK($F$93:F743)=1,COUNTBLANK(F744)=0),F744,IF(COUNTBLANK($F$93:F743)=0,F743,""))</f>
        <v/>
      </c>
    </row>
    <row r="744" spans="1:7" x14ac:dyDescent="0.2">
      <c r="A744" s="103" t="s">
        <v>100</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Ambulatory</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X-ray</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Lab</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Desk DP</v>
      </c>
      <c r="G1243" t="str">
        <f>IF(AND(COUNTBLANK($F$93:F1243)=1,COUNTBLANK(F1244)=0),F1244,IF(COUNTBLANK($F$93:F1243)=0,F1243,""))</f>
        <v/>
      </c>
    </row>
    <row r="1244" spans="1:7" x14ac:dyDescent="0.2">
      <c r="A1244" s="103" t="s">
        <v>99</v>
      </c>
      <c r="C1244">
        <v>2</v>
      </c>
      <c r="D1244">
        <f t="shared" ref="D1244:D1275" si="57">3+D1243</f>
        <v>6</v>
      </c>
      <c r="E1244" s="110" t="str">
        <f t="shared" si="56"/>
        <v>X-ray DP</v>
      </c>
      <c r="G1244" t="str">
        <f>IF(AND(COUNTBLANK($F$93:F1244)=1,COUNTBLANK(F1245)=0),F1245,IF(COUNTBLANK($F$93:F1244)=0,F1244,""))</f>
        <v/>
      </c>
    </row>
    <row r="1245" spans="1:7" x14ac:dyDescent="0.2">
      <c r="C1245">
        <v>2</v>
      </c>
      <c r="D1245">
        <f t="shared" si="57"/>
        <v>9</v>
      </c>
      <c r="E1245" s="110" t="str">
        <f t="shared" si="56"/>
        <v>Lab DP</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Ambulatory Line</v>
      </c>
      <c r="G1293" t="str">
        <f>IF(AND(COUNTBLANK($F$93:F1293)=1,COUNTBLANK(F1294)=0),F1294,IF(COUNTBLANK($F$93:F1293)=0,F1293,""))</f>
        <v/>
      </c>
    </row>
    <row r="1294" spans="1:7" x14ac:dyDescent="0.2">
      <c r="A1294" s="103" t="s">
        <v>100</v>
      </c>
      <c r="C1294">
        <v>6</v>
      </c>
      <c r="D1294" s="106">
        <v>2</v>
      </c>
      <c r="E1294" s="110" t="str">
        <f t="shared" si="56"/>
        <v>X-ray Line</v>
      </c>
      <c r="G1294" t="str">
        <f>IF(AND(COUNTBLANK($F$93:F1294)=1,COUNTBLANK(F1295)=0),F1295,IF(COUNTBLANK($F$93:F1294)=0,F1294,""))</f>
        <v/>
      </c>
    </row>
    <row r="1295" spans="1:7" x14ac:dyDescent="0.2">
      <c r="C1295">
        <v>7</v>
      </c>
      <c r="D1295" s="106">
        <v>2</v>
      </c>
      <c r="E1295" s="110" t="str">
        <f t="shared" si="56"/>
        <v>Hospital</v>
      </c>
      <c r="G1295" t="str">
        <f>IF(AND(COUNTBLANK($F$93:F1295)=1,COUNTBLANK(F1296)=0),F1296,IF(COUNTBLANK($F$93:F1295)=0,F1295,""))</f>
        <v/>
      </c>
    </row>
    <row r="1296" spans="1:7" x14ac:dyDescent="0.2">
      <c r="C1296">
        <v>8</v>
      </c>
      <c r="D1296" s="106">
        <v>2</v>
      </c>
      <c r="E1296" s="110" t="str">
        <f t="shared" si="56"/>
        <v>Lab Line</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Hospital</v>
      </c>
      <c r="G1303" t="str">
        <f>IF(AND(COUNTBLANK($F$93:F1303)=1,COUNTBLANK(F1304)=0),F1304,IF(COUNTBLANK($F$93:F1303)=0,F1303,""))</f>
        <v/>
      </c>
    </row>
    <row r="1304" spans="3:7" x14ac:dyDescent="0.2">
      <c r="C1304">
        <f t="shared" si="59"/>
        <v>6</v>
      </c>
      <c r="D1304" s="106">
        <f t="shared" si="60"/>
        <v>5</v>
      </c>
      <c r="E1304" s="110" t="str">
        <f t="shared" si="56"/>
        <v>Lab</v>
      </c>
      <c r="G1304" t="str">
        <f>IF(AND(COUNTBLANK($F$93:F1304)=1,COUNTBLANK(F1305)=0),F1305,IF(COUNTBLANK($F$93:F1304)=0,F1304,""))</f>
        <v/>
      </c>
    </row>
    <row r="1305" spans="3:7" x14ac:dyDescent="0.2">
      <c r="C1305">
        <f t="shared" si="59"/>
        <v>7</v>
      </c>
      <c r="D1305" s="106">
        <f t="shared" si="60"/>
        <v>5</v>
      </c>
      <c r="E1305" s="110" t="str">
        <f t="shared" si="56"/>
        <v>Release</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Hospital</v>
      </c>
      <c r="G1313" t="str">
        <f>IF(AND(COUNTBLANK($F$93:F1313)=1,COUNTBLANK(F1314)=0),F1314,IF(COUNTBLANK($F$93:F1313)=0,F1313,""))</f>
        <v/>
      </c>
    </row>
    <row r="1314" spans="3:7" x14ac:dyDescent="0.2">
      <c r="C1314">
        <f t="shared" si="59"/>
        <v>6</v>
      </c>
      <c r="D1314" s="106">
        <f t="shared" si="60"/>
        <v>8</v>
      </c>
      <c r="E1314" s="110" t="str">
        <f t="shared" si="61"/>
        <v>Release</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Desk</v>
      </c>
      <c r="G1793" t="str">
        <f>IF(AND(COUNTBLANK($F$93:F1793)=1,COUNTBLANK(F1794)=0),F1794,IF(COUNTBLANK($F$93:F1793)=0,F1793,""))</f>
        <v/>
      </c>
    </row>
    <row r="1794" spans="1:7" x14ac:dyDescent="0.2">
      <c r="A1794" s="103" t="s">
        <v>99</v>
      </c>
      <c r="C1794">
        <v>2</v>
      </c>
      <c r="D1794">
        <f>D1793+5</f>
        <v>9</v>
      </c>
      <c r="E1794" s="110" t="str">
        <f t="shared" ref="E1794:E1857" si="91">INDEX($B$75:$IQ$89,C1794,D1794)</f>
        <v>Ambulatory</v>
      </c>
      <c r="G1794" t="str">
        <f>IF(AND(COUNTBLANK($F$93:F1794)=1,COUNTBLANK(F1795)=0),F1795,IF(COUNTBLANK($F$93:F1794)=0,F1794,""))</f>
        <v/>
      </c>
    </row>
    <row r="1795" spans="1:7" x14ac:dyDescent="0.2">
      <c r="C1795">
        <v>2</v>
      </c>
      <c r="D1795">
        <f t="shared" ref="D1795:D1842" si="92">D1794+5</f>
        <v>14</v>
      </c>
      <c r="E1795" s="110" t="str">
        <f t="shared" si="91"/>
        <v>X-ray</v>
      </c>
      <c r="G1795" t="str">
        <f>IF(AND(COUNTBLANK($F$93:F1795)=1,COUNTBLANK(F1796)=0),F1796,IF(COUNTBLANK($F$93:F1795)=0,F1795,""))</f>
        <v/>
      </c>
    </row>
    <row r="1796" spans="1:7" x14ac:dyDescent="0.2">
      <c r="C1796">
        <v>2</v>
      </c>
      <c r="D1796">
        <f t="shared" si="92"/>
        <v>19</v>
      </c>
      <c r="E1796" s="110" t="str">
        <f t="shared" si="91"/>
        <v>Lab</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Desk DP</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Release</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X-ray DP</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Lab DP</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9" t="s">
        <v>149</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4"/>
  <sheetViews>
    <sheetView workbookViewId="0">
      <selection activeCell="D47" sqref="D47"/>
    </sheetView>
  </sheetViews>
  <sheetFormatPr defaultRowHeight="12.75" x14ac:dyDescent="0.2"/>
  <cols>
    <col min="1" max="1" width="14.140625" customWidth="1"/>
    <col min="2" max="2" width="16.28515625" customWidth="1"/>
    <col min="3" max="3" width="23.42578125" customWidth="1"/>
    <col min="4" max="4" width="8.85546875" customWidth="1"/>
    <col min="5" max="7" width="11.28515625" customWidth="1"/>
    <col min="8" max="8" width="7.85546875" customWidth="1"/>
    <col min="9" max="10" width="11.28515625" customWidth="1"/>
    <col min="11" max="11" width="7.85546875" customWidth="1"/>
    <col min="12" max="19" width="11.28515625" customWidth="1"/>
    <col min="20" max="20" width="7.85546875" customWidth="1"/>
    <col min="21" max="21" width="11.28515625" customWidth="1"/>
    <col min="22" max="22" width="7.85546875" customWidth="1"/>
    <col min="23" max="27" width="11.28515625" customWidth="1"/>
    <col min="28" max="29" width="7.85546875" customWidth="1"/>
    <col min="30" max="30" width="11.28515625" customWidth="1"/>
    <col min="31" max="31" width="7.85546875" customWidth="1"/>
    <col min="32" max="37" width="11.28515625" customWidth="1"/>
    <col min="38" max="38" width="7.85546875" customWidth="1"/>
    <col min="39" max="39" width="11.28515625" customWidth="1"/>
    <col min="40" max="40" width="7.85546875" customWidth="1"/>
    <col min="41" max="41" width="11.28515625" customWidth="1"/>
    <col min="42" max="42" width="7.85546875" customWidth="1"/>
    <col min="43" max="45" width="11.28515625" customWidth="1"/>
    <col min="46" max="46" width="7.85546875" customWidth="1"/>
    <col min="47" max="48" width="11.28515625" customWidth="1"/>
    <col min="49" max="49" width="7.85546875" customWidth="1"/>
    <col min="50" max="50" width="11.28515625" customWidth="1"/>
    <col min="51" max="51" width="7.85546875" customWidth="1"/>
    <col min="52" max="54" width="11.28515625" customWidth="1"/>
    <col min="55" max="55" width="7.85546875" customWidth="1"/>
    <col min="56" max="68" width="11.28515625" customWidth="1"/>
    <col min="69" max="69" width="7.85546875" customWidth="1"/>
    <col min="70" max="73" width="11.28515625" customWidth="1"/>
    <col min="74" max="74" width="7.85546875" customWidth="1"/>
    <col min="75" max="77" width="11.28515625" customWidth="1"/>
    <col min="78" max="79" width="7.85546875" customWidth="1"/>
    <col min="80" max="84" width="11.28515625" customWidth="1"/>
    <col min="85" max="85" width="7.85546875" customWidth="1"/>
    <col min="86" max="87" width="11.28515625" customWidth="1"/>
    <col min="88" max="88" width="7.85546875" customWidth="1"/>
    <col min="89" max="90" width="11.28515625" customWidth="1"/>
    <col min="91" max="91" width="7.85546875" customWidth="1"/>
    <col min="92" max="94" width="11.28515625" customWidth="1"/>
    <col min="95" max="95" width="7.85546875" customWidth="1"/>
    <col min="96" max="97" width="11.28515625" customWidth="1"/>
    <col min="98" max="98" width="7.85546875" customWidth="1"/>
    <col min="99" max="104" width="11.28515625" customWidth="1"/>
    <col min="105" max="105" width="7.85546875" customWidth="1"/>
    <col min="106" max="204" width="11.28515625" bestFit="1" customWidth="1"/>
  </cols>
  <sheetData>
    <row r="1" spans="1:8" ht="18" x14ac:dyDescent="0.25">
      <c r="A1" s="1" t="s">
        <v>62</v>
      </c>
    </row>
    <row r="2" spans="1:8" x14ac:dyDescent="0.2">
      <c r="H2" s="183"/>
    </row>
    <row r="3" spans="1:8" ht="15.75" x14ac:dyDescent="0.25">
      <c r="A3" s="66" t="s">
        <v>63</v>
      </c>
      <c r="B3" s="80" t="s">
        <v>63</v>
      </c>
      <c r="C3" s="67" t="s">
        <v>64</v>
      </c>
      <c r="D3" s="130" t="s">
        <v>170</v>
      </c>
    </row>
    <row r="4" spans="1:8" ht="16.5" thickBot="1" x14ac:dyDescent="0.3">
      <c r="A4" s="84" t="s">
        <v>65</v>
      </c>
      <c r="B4" s="85" t="s">
        <v>66</v>
      </c>
      <c r="C4" s="86"/>
      <c r="D4" s="84" t="s">
        <v>171</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168</v>
      </c>
    </row>
    <row r="4" spans="2:2" x14ac:dyDescent="0.2">
      <c r="B4" t="s">
        <v>167</v>
      </c>
    </row>
    <row r="5" spans="2:2" x14ac:dyDescent="0.2">
      <c r="B5" t="s">
        <v>166</v>
      </c>
    </row>
    <row r="6" spans="2:2" x14ac:dyDescent="0.2">
      <c r="B6" t="s">
        <v>165</v>
      </c>
    </row>
    <row r="7" spans="2:2" x14ac:dyDescent="0.2">
      <c r="B7" t="s">
        <v>153</v>
      </c>
    </row>
    <row r="8" spans="2:2" x14ac:dyDescent="0.2">
      <c r="B8" t="s">
        <v>93</v>
      </c>
    </row>
    <row r="9" spans="2:2" x14ac:dyDescent="0.2">
      <c r="B9" t="s">
        <v>92</v>
      </c>
    </row>
    <row r="10" spans="2:2" x14ac:dyDescent="0.2">
      <c r="B10" t="s">
        <v>55</v>
      </c>
    </row>
  </sheetData>
  <sortState caseSensitive="1" ref="B3:B6">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163</v>
      </c>
      <c r="C7" t="s">
        <v>133</v>
      </c>
      <c r="D7">
        <v>3</v>
      </c>
      <c r="E7">
        <v>50</v>
      </c>
      <c r="F7">
        <v>1</v>
      </c>
    </row>
    <row r="8" spans="1:6" x14ac:dyDescent="0.2">
      <c r="A8">
        <v>2</v>
      </c>
      <c r="B8" t="s">
        <v>165</v>
      </c>
      <c r="C8" t="s">
        <v>155</v>
      </c>
      <c r="D8">
        <v>4</v>
      </c>
      <c r="E8">
        <v>50</v>
      </c>
      <c r="F8">
        <v>2</v>
      </c>
    </row>
    <row r="9" spans="1:6" x14ac:dyDescent="0.2">
      <c r="A9">
        <v>3</v>
      </c>
      <c r="B9" t="s">
        <v>166</v>
      </c>
      <c r="C9" t="s">
        <v>155</v>
      </c>
      <c r="D9">
        <v>9</v>
      </c>
      <c r="E9">
        <v>50</v>
      </c>
      <c r="F9">
        <v>3</v>
      </c>
    </row>
    <row r="10" spans="1:6" x14ac:dyDescent="0.2">
      <c r="A10">
        <v>4</v>
      </c>
      <c r="B10" t="s">
        <v>167</v>
      </c>
      <c r="C10" t="s">
        <v>155</v>
      </c>
      <c r="D10">
        <v>14</v>
      </c>
      <c r="E10">
        <v>50</v>
      </c>
      <c r="F10">
        <v>4</v>
      </c>
    </row>
    <row r="11" spans="1:6" x14ac:dyDescent="0.2">
      <c r="A11">
        <v>5</v>
      </c>
      <c r="B11" t="s">
        <v>168</v>
      </c>
      <c r="C11" t="s">
        <v>155</v>
      </c>
      <c r="D11">
        <v>19</v>
      </c>
      <c r="E11">
        <v>50</v>
      </c>
      <c r="F11">
        <v>5</v>
      </c>
    </row>
    <row r="12" spans="1:6" x14ac:dyDescent="0.2">
      <c r="A12">
        <v>6</v>
      </c>
      <c r="B12" t="s">
        <v>164</v>
      </c>
      <c r="C12" t="s">
        <v>95</v>
      </c>
      <c r="D12">
        <v>3</v>
      </c>
      <c r="E12">
        <v>50</v>
      </c>
      <c r="F12">
        <v>6</v>
      </c>
    </row>
    <row r="13" spans="1:6" x14ac:dyDescent="0.2">
      <c r="A13">
        <v>7</v>
      </c>
      <c r="B13" t="s">
        <v>169</v>
      </c>
      <c r="C13" t="s">
        <v>95</v>
      </c>
      <c r="D13">
        <v>6</v>
      </c>
      <c r="E13">
        <v>50</v>
      </c>
      <c r="F13">
        <v>7</v>
      </c>
    </row>
    <row r="14" spans="1:6" x14ac:dyDescent="0.2">
      <c r="A14">
        <v>8</v>
      </c>
      <c r="F14">
        <v>8</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3">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209"/>
  <sheetViews>
    <sheetView workbookViewId="0">
      <selection activeCell="K1" sqref="K1"/>
    </sheetView>
  </sheetViews>
  <sheetFormatPr defaultRowHeight="12.75" x14ac:dyDescent="0.2"/>
  <cols>
    <col min="1" max="1" width="7.85546875" customWidth="1"/>
    <col min="2" max="6" width="8.7109375" customWidth="1"/>
    <col min="7" max="7" width="5.5703125"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160</v>
      </c>
      <c r="D4" s="151"/>
    </row>
    <row r="6" spans="1:220" s="130" customFormat="1" ht="15.75" x14ac:dyDescent="0.25">
      <c r="A6" s="149"/>
      <c r="B6" s="130" t="s">
        <v>161</v>
      </c>
      <c r="C6"/>
    </row>
    <row r="7" spans="1:220" s="130" customFormat="1" ht="15.75" x14ac:dyDescent="0.25">
      <c r="A7" s="149"/>
    </row>
    <row r="8" spans="1:220" s="130" customFormat="1" ht="15.75" x14ac:dyDescent="0.25">
      <c r="A8" s="149"/>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6" t="s">
        <v>119</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row r="110" spans="1:1" x14ac:dyDescent="0.2">
      <c r="A110" s="164"/>
    </row>
    <row r="111" spans="1:1" x14ac:dyDescent="0.2">
      <c r="A111" s="164"/>
    </row>
    <row r="112" spans="1:1" x14ac:dyDescent="0.2">
      <c r="A112" s="164"/>
    </row>
    <row r="113" spans="1:1" x14ac:dyDescent="0.2">
      <c r="A113" s="164"/>
    </row>
    <row r="114" spans="1:1" x14ac:dyDescent="0.2">
      <c r="A114" s="164"/>
    </row>
    <row r="115" spans="1:1" x14ac:dyDescent="0.2">
      <c r="A115" s="164"/>
    </row>
    <row r="116" spans="1:1" x14ac:dyDescent="0.2">
      <c r="A116" s="164"/>
    </row>
    <row r="117" spans="1:1" x14ac:dyDescent="0.2">
      <c r="A117" s="164"/>
    </row>
    <row r="118" spans="1:1" x14ac:dyDescent="0.2">
      <c r="A118" s="164"/>
    </row>
    <row r="119" spans="1:1" x14ac:dyDescent="0.2">
      <c r="A119" s="164"/>
    </row>
    <row r="120" spans="1:1" x14ac:dyDescent="0.2">
      <c r="A120" s="164"/>
    </row>
    <row r="121" spans="1:1" x14ac:dyDescent="0.2">
      <c r="A121" s="164"/>
    </row>
    <row r="122" spans="1:1" x14ac:dyDescent="0.2">
      <c r="A122" s="164"/>
    </row>
    <row r="123" spans="1:1" x14ac:dyDescent="0.2">
      <c r="A123" s="164"/>
    </row>
    <row r="124" spans="1:1" x14ac:dyDescent="0.2">
      <c r="A124" s="164"/>
    </row>
    <row r="125" spans="1:1" x14ac:dyDescent="0.2">
      <c r="A125" s="164"/>
    </row>
    <row r="126" spans="1:1" x14ac:dyDescent="0.2">
      <c r="A126" s="164"/>
    </row>
    <row r="127" spans="1:1" x14ac:dyDescent="0.2">
      <c r="A127" s="164"/>
    </row>
    <row r="128" spans="1:1" x14ac:dyDescent="0.2">
      <c r="A128" s="164"/>
    </row>
    <row r="129" spans="1:1" x14ac:dyDescent="0.2">
      <c r="A129" s="164"/>
    </row>
    <row r="130" spans="1:1" x14ac:dyDescent="0.2">
      <c r="A130" s="164"/>
    </row>
    <row r="131" spans="1:1" x14ac:dyDescent="0.2">
      <c r="A131" s="164"/>
    </row>
    <row r="132" spans="1:1" x14ac:dyDescent="0.2">
      <c r="A132" s="164"/>
    </row>
    <row r="133" spans="1:1" x14ac:dyDescent="0.2">
      <c r="A133" s="164"/>
    </row>
    <row r="134" spans="1:1" x14ac:dyDescent="0.2">
      <c r="A134" s="164"/>
    </row>
    <row r="135" spans="1:1" x14ac:dyDescent="0.2">
      <c r="A135" s="164"/>
    </row>
    <row r="136" spans="1:1" x14ac:dyDescent="0.2">
      <c r="A136" s="164"/>
    </row>
    <row r="137" spans="1:1" x14ac:dyDescent="0.2">
      <c r="A137" s="164"/>
    </row>
    <row r="138" spans="1:1" x14ac:dyDescent="0.2">
      <c r="A138" s="164"/>
    </row>
    <row r="139" spans="1:1" x14ac:dyDescent="0.2">
      <c r="A139" s="164"/>
    </row>
    <row r="140" spans="1:1" x14ac:dyDescent="0.2">
      <c r="A140" s="164"/>
    </row>
    <row r="141" spans="1:1" x14ac:dyDescent="0.2">
      <c r="A141" s="164"/>
    </row>
    <row r="142" spans="1:1" x14ac:dyDescent="0.2">
      <c r="A142" s="164"/>
    </row>
    <row r="143" spans="1:1" x14ac:dyDescent="0.2">
      <c r="A143" s="164"/>
    </row>
    <row r="144" spans="1:1" x14ac:dyDescent="0.2">
      <c r="A144" s="164"/>
    </row>
    <row r="145" spans="1:1" x14ac:dyDescent="0.2">
      <c r="A145" s="164"/>
    </row>
    <row r="146" spans="1:1" x14ac:dyDescent="0.2">
      <c r="A146" s="164"/>
    </row>
    <row r="147" spans="1:1" x14ac:dyDescent="0.2">
      <c r="A147" s="164"/>
    </row>
    <row r="148" spans="1:1" x14ac:dyDescent="0.2">
      <c r="A148" s="164"/>
    </row>
    <row r="149" spans="1:1" x14ac:dyDescent="0.2">
      <c r="A149" s="164"/>
    </row>
    <row r="150" spans="1:1" x14ac:dyDescent="0.2">
      <c r="A150" s="164"/>
    </row>
    <row r="151" spans="1:1" x14ac:dyDescent="0.2">
      <c r="A151" s="164"/>
    </row>
    <row r="152" spans="1:1" x14ac:dyDescent="0.2">
      <c r="A152" s="164"/>
    </row>
    <row r="153" spans="1:1" x14ac:dyDescent="0.2">
      <c r="A153" s="164"/>
    </row>
    <row r="154" spans="1:1" x14ac:dyDescent="0.2">
      <c r="A154" s="164"/>
    </row>
    <row r="155" spans="1:1" x14ac:dyDescent="0.2">
      <c r="A155" s="164"/>
    </row>
    <row r="156" spans="1:1" x14ac:dyDescent="0.2">
      <c r="A156" s="164"/>
    </row>
    <row r="157" spans="1:1" x14ac:dyDescent="0.2">
      <c r="A157" s="164"/>
    </row>
    <row r="158" spans="1:1" x14ac:dyDescent="0.2">
      <c r="A158" s="164"/>
    </row>
    <row r="159" spans="1:1" x14ac:dyDescent="0.2">
      <c r="A159" s="164"/>
    </row>
    <row r="160" spans="1:1" x14ac:dyDescent="0.2">
      <c r="A160" s="164"/>
    </row>
    <row r="161" spans="1:1" x14ac:dyDescent="0.2">
      <c r="A161" s="164"/>
    </row>
    <row r="162" spans="1:1" x14ac:dyDescent="0.2">
      <c r="A162" s="164"/>
    </row>
    <row r="163" spans="1:1" x14ac:dyDescent="0.2">
      <c r="A163" s="164"/>
    </row>
    <row r="164" spans="1:1" x14ac:dyDescent="0.2">
      <c r="A164" s="164"/>
    </row>
    <row r="165" spans="1:1" x14ac:dyDescent="0.2">
      <c r="A165" s="164"/>
    </row>
    <row r="166" spans="1:1" x14ac:dyDescent="0.2">
      <c r="A166" s="164"/>
    </row>
    <row r="167" spans="1:1" x14ac:dyDescent="0.2">
      <c r="A167" s="164"/>
    </row>
    <row r="168" spans="1:1" x14ac:dyDescent="0.2">
      <c r="A168" s="164"/>
    </row>
    <row r="169" spans="1:1" x14ac:dyDescent="0.2">
      <c r="A169" s="164"/>
    </row>
    <row r="170" spans="1:1" x14ac:dyDescent="0.2">
      <c r="A170" s="164"/>
    </row>
    <row r="171" spans="1:1" x14ac:dyDescent="0.2">
      <c r="A171" s="164"/>
    </row>
    <row r="172" spans="1:1" x14ac:dyDescent="0.2">
      <c r="A172" s="164"/>
    </row>
    <row r="173" spans="1:1" x14ac:dyDescent="0.2">
      <c r="A173" s="164"/>
    </row>
    <row r="174" spans="1:1" x14ac:dyDescent="0.2">
      <c r="A174" s="164"/>
    </row>
    <row r="175" spans="1:1" x14ac:dyDescent="0.2">
      <c r="A175" s="164"/>
    </row>
    <row r="176" spans="1:1" x14ac:dyDescent="0.2">
      <c r="A176" s="164"/>
    </row>
    <row r="177" spans="1:1" x14ac:dyDescent="0.2">
      <c r="A177" s="164"/>
    </row>
    <row r="178" spans="1:1" x14ac:dyDescent="0.2">
      <c r="A178" s="164"/>
    </row>
    <row r="179" spans="1:1" x14ac:dyDescent="0.2">
      <c r="A179" s="164"/>
    </row>
    <row r="180" spans="1:1" x14ac:dyDescent="0.2">
      <c r="A180" s="164"/>
    </row>
    <row r="181" spans="1:1" x14ac:dyDescent="0.2">
      <c r="A181" s="164"/>
    </row>
    <row r="182" spans="1:1" x14ac:dyDescent="0.2">
      <c r="A182" s="164"/>
    </row>
    <row r="183" spans="1:1" x14ac:dyDescent="0.2">
      <c r="A183" s="164"/>
    </row>
    <row r="184" spans="1:1" x14ac:dyDescent="0.2">
      <c r="A184" s="164"/>
    </row>
    <row r="185" spans="1:1" x14ac:dyDescent="0.2">
      <c r="A185" s="164"/>
    </row>
    <row r="186" spans="1:1" x14ac:dyDescent="0.2">
      <c r="A186" s="164"/>
    </row>
    <row r="187" spans="1:1" x14ac:dyDescent="0.2">
      <c r="A187" s="164"/>
    </row>
    <row r="188" spans="1:1" x14ac:dyDescent="0.2">
      <c r="A188" s="164"/>
    </row>
    <row r="189" spans="1:1" x14ac:dyDescent="0.2">
      <c r="A189" s="164"/>
    </row>
    <row r="190" spans="1:1" x14ac:dyDescent="0.2">
      <c r="A190" s="164"/>
    </row>
    <row r="191" spans="1:1" x14ac:dyDescent="0.2">
      <c r="A191" s="164"/>
    </row>
    <row r="192" spans="1:1" x14ac:dyDescent="0.2">
      <c r="A192" s="164"/>
    </row>
    <row r="193" spans="1:1" x14ac:dyDescent="0.2">
      <c r="A193" s="164"/>
    </row>
    <row r="194" spans="1:1" x14ac:dyDescent="0.2">
      <c r="A194" s="164"/>
    </row>
    <row r="195" spans="1:1" x14ac:dyDescent="0.2">
      <c r="A195" s="164"/>
    </row>
    <row r="196" spans="1:1" x14ac:dyDescent="0.2">
      <c r="A196" s="164"/>
    </row>
    <row r="197" spans="1:1" x14ac:dyDescent="0.2">
      <c r="A197" s="164"/>
    </row>
    <row r="198" spans="1:1" x14ac:dyDescent="0.2">
      <c r="A198" s="164"/>
    </row>
    <row r="199" spans="1:1" x14ac:dyDescent="0.2">
      <c r="A199" s="164"/>
    </row>
    <row r="200" spans="1:1" x14ac:dyDescent="0.2">
      <c r="A200" s="164"/>
    </row>
    <row r="201" spans="1:1" x14ac:dyDescent="0.2">
      <c r="A201" s="164"/>
    </row>
    <row r="202" spans="1:1" x14ac:dyDescent="0.2">
      <c r="A202" s="164"/>
    </row>
    <row r="203" spans="1:1" x14ac:dyDescent="0.2">
      <c r="A203" s="164"/>
    </row>
    <row r="204" spans="1:1" x14ac:dyDescent="0.2">
      <c r="A204" s="164"/>
    </row>
    <row r="205" spans="1:1" x14ac:dyDescent="0.2">
      <c r="A205" s="164"/>
    </row>
    <row r="206" spans="1:1" x14ac:dyDescent="0.2">
      <c r="A206" s="164"/>
    </row>
    <row r="207" spans="1:1" x14ac:dyDescent="0.2">
      <c r="A207" s="164"/>
    </row>
    <row r="208" spans="1:1" x14ac:dyDescent="0.2">
      <c r="A208" s="164"/>
    </row>
    <row r="209" spans="1:1" x14ac:dyDescent="0.2">
      <c r="A209" s="1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504825</xdr:colOff>
                    <xdr:row>0</xdr:row>
                    <xdr:rowOff>95250</xdr:rowOff>
                  </from>
                  <to>
                    <xdr:col>5</xdr:col>
                    <xdr:colOff>371475</xdr:colOff>
                    <xdr:row>1</xdr:row>
                    <xdr:rowOff>104775</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76200</xdr:colOff>
                    <xdr:row>0</xdr:row>
                    <xdr:rowOff>104775</xdr:rowOff>
                  </from>
                  <to>
                    <xdr:col>9</xdr:col>
                    <xdr:colOff>266700</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Seth Berry</cp:lastModifiedBy>
  <cp:lastPrinted>2003-03-27T18:40:25Z</cp:lastPrinted>
  <dcterms:created xsi:type="dcterms:W3CDTF">2000-07-26T14:58:13Z</dcterms:created>
  <dcterms:modified xsi:type="dcterms:W3CDTF">2017-09-14T16:57:01Z</dcterms:modified>
</cp:coreProperties>
</file>