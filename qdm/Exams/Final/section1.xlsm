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berry5\Documents\class\QDM Class\Exams\Final\"/>
    </mc:Choice>
  </mc:AlternateContent>
  <bookViews>
    <workbookView xWindow="0" yWindow="0" windowWidth="28800" windowHeight="11835" firstSheet="2" activeTab="20"/>
  </bookViews>
  <sheets>
    <sheet name="Other Features" sheetId="35" state="veryHidden" r:id="rId1"/>
    <sheet name="Model View" sheetId="36" state="veryHidden" r:id="rId2"/>
    <sheet name="Overview" sheetId="42" r:id="rId3"/>
    <sheet name="Control Panel" sheetId="1" state="veryHidden"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62913"/>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H6" i="37"/>
  <c r="I6" i="37"/>
  <c r="J6" i="37"/>
  <c r="K6" i="37"/>
  <c r="L6" i="37"/>
  <c r="M6" i="37"/>
  <c r="N6" i="37"/>
  <c r="O6" i="37"/>
  <c r="P6" i="37"/>
  <c r="Q6" i="37"/>
  <c r="R6" i="37"/>
  <c r="S6" i="37"/>
  <c r="T6" i="37"/>
  <c r="U6" i="37"/>
  <c r="V6" i="37"/>
  <c r="W6" i="37"/>
  <c r="X6" i="37"/>
  <c r="Y6" i="37"/>
  <c r="Z6" i="37"/>
  <c r="AA6" i="37"/>
  <c r="AB6" i="37"/>
  <c r="AC6" i="37"/>
  <c r="AD6" i="37"/>
  <c r="AE6" i="37"/>
  <c r="AF6" i="37"/>
  <c r="AG6" i="37"/>
  <c r="AH6" i="37"/>
  <c r="AI6" i="37"/>
  <c r="AJ6" i="37"/>
  <c r="AK6" i="37"/>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G11" i="37"/>
  <c r="H11" i="37"/>
  <c r="I11" i="37"/>
  <c r="J11" i="37"/>
  <c r="K11" i="37"/>
  <c r="L11" i="37"/>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c r="D12" i="37"/>
  <c r="E12" i="37"/>
  <c r="F12" i="37"/>
  <c r="G12" i="37"/>
  <c r="H12" i="37"/>
  <c r="I12" i="37"/>
  <c r="J12" i="37"/>
  <c r="K12" i="37"/>
  <c r="L12" i="37"/>
  <c r="M12" i="37"/>
  <c r="N12" i="37"/>
  <c r="O12" i="37"/>
  <c r="P12" i="37"/>
  <c r="Q12" i="37"/>
  <c r="R12" i="37"/>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G13" i="37"/>
  <c r="H13" i="37"/>
  <c r="I13" i="37"/>
  <c r="J13" i="37"/>
  <c r="K13" i="37"/>
  <c r="L13" i="37"/>
  <c r="M13" i="37"/>
  <c r="N13" i="37"/>
  <c r="O13" i="37"/>
  <c r="P13" i="37"/>
  <c r="Q13" i="37"/>
  <c r="R13" i="37"/>
  <c r="S13" i="37"/>
  <c r="T13" i="37"/>
  <c r="U13" i="37"/>
  <c r="V13" i="37"/>
  <c r="W13" i="37"/>
  <c r="X13" i="37"/>
  <c r="Y13" i="37"/>
  <c r="Z13" i="37"/>
  <c r="AA13" i="37"/>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G15" i="37"/>
  <c r="H15" i="37"/>
  <c r="I15" i="37"/>
  <c r="J15" i="37"/>
  <c r="K15" i="37"/>
  <c r="L15" i="37"/>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G16" i="37"/>
  <c r="H16" i="37"/>
  <c r="I16" i="37"/>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G17" i="37"/>
  <c r="H17" i="37"/>
  <c r="I17" i="37"/>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G18" i="37"/>
  <c r="H18" i="37"/>
  <c r="I18" i="37"/>
  <c r="J18" i="37"/>
  <c r="K18" i="37"/>
  <c r="L18" i="37"/>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G19" i="37"/>
  <c r="H19" i="37"/>
  <c r="I19" i="37"/>
  <c r="J19" i="37"/>
  <c r="K19" i="37"/>
  <c r="L19" i="37"/>
  <c r="M19" i="37"/>
  <c r="N19" i="37"/>
  <c r="O19" i="37"/>
  <c r="P19" i="37"/>
  <c r="Q19" i="37"/>
  <c r="R19" i="37"/>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G20" i="37"/>
  <c r="H20" i="37"/>
  <c r="I20" i="37"/>
  <c r="J20" i="37"/>
  <c r="K20" i="37"/>
  <c r="L20" i="37"/>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H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G41" i="37"/>
  <c r="H41" i="37"/>
  <c r="I41" i="37"/>
  <c r="J41" i="37"/>
  <c r="K41" i="37"/>
  <c r="L41" i="37"/>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G42" i="37"/>
  <c r="H42" i="37"/>
  <c r="I42" i="37"/>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G44" i="37"/>
  <c r="H44" i="37"/>
  <c r="I44" i="37"/>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G45" i="37"/>
  <c r="H45" i="37"/>
  <c r="I45" i="37"/>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G46" i="37"/>
  <c r="H46" i="37"/>
  <c r="I46" i="37"/>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G47" i="37"/>
  <c r="H47" i="37"/>
  <c r="I47" i="37"/>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G48" i="37"/>
  <c r="H48" i="37"/>
  <c r="I48" i="37"/>
  <c r="J48" i="37"/>
  <c r="K48" i="37"/>
  <c r="L48" i="37"/>
  <c r="M48" i="37"/>
  <c r="N48" i="37"/>
  <c r="O48" i="37"/>
  <c r="P48" i="37"/>
  <c r="Q48" i="37"/>
  <c r="R48" i="37"/>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G49" i="37"/>
  <c r="H49" i="37"/>
  <c r="I49" i="37"/>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G50" i="37"/>
  <c r="H50" i="37"/>
  <c r="I50" i="37"/>
  <c r="J50" i="37"/>
  <c r="K50" i="37"/>
  <c r="L50" i="37"/>
  <c r="M50" i="37"/>
  <c r="N50" i="37"/>
  <c r="O50" i="37"/>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BI50" i="37"/>
  <c r="BJ50" i="37"/>
  <c r="BK50" i="37"/>
  <c r="BL50" i="37"/>
  <c r="BM50" i="37"/>
  <c r="BN50" i="37"/>
  <c r="BO50" i="37"/>
  <c r="BP50" i="37"/>
  <c r="BQ50" i="37"/>
  <c r="BR50" i="37"/>
  <c r="BS50" i="37"/>
  <c r="BT50" i="37"/>
  <c r="BU50" i="37"/>
  <c r="BV50" i="37"/>
  <c r="BW50" i="37"/>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H57" i="37"/>
  <c r="I57" i="37"/>
  <c r="J57" i="37"/>
  <c r="K57" i="37"/>
  <c r="L57" i="37"/>
  <c r="M57" i="37"/>
  <c r="N57" i="37"/>
  <c r="O57" i="37"/>
  <c r="P57" i="37"/>
  <c r="Q57" i="37"/>
  <c r="R57" i="37"/>
  <c r="S57" i="37"/>
  <c r="T57" i="37"/>
  <c r="U57" i="37"/>
  <c r="V57" i="37"/>
  <c r="W57" i="37"/>
  <c r="X57" i="37"/>
  <c r="Y57" i="37"/>
  <c r="Z57" i="37"/>
  <c r="AA57" i="37"/>
  <c r="AB57" i="37"/>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G60" i="37"/>
  <c r="H60" i="37"/>
  <c r="I60" i="37"/>
  <c r="J60" i="37"/>
  <c r="K60" i="37"/>
  <c r="L60" i="37"/>
  <c r="M60" i="37"/>
  <c r="N60" i="37"/>
  <c r="O60" i="37"/>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G61" i="37"/>
  <c r="H61" i="37"/>
  <c r="I61" i="37"/>
  <c r="J61" i="37"/>
  <c r="K61" i="37"/>
  <c r="L61" i="37"/>
  <c r="M61" i="37"/>
  <c r="N61" i="37"/>
  <c r="O61" i="37"/>
  <c r="P61" i="37"/>
  <c r="Q61" i="37"/>
  <c r="R61" i="37"/>
  <c r="S61" i="37"/>
  <c r="T61" i="37"/>
  <c r="U61" i="37"/>
  <c r="V61" i="37"/>
  <c r="W61" i="37"/>
  <c r="X61" i="37"/>
  <c r="Y61" i="37"/>
  <c r="Z61" i="37"/>
  <c r="AA61" i="37"/>
  <c r="AB61" i="37"/>
  <c r="AC61" i="37"/>
  <c r="AD61" i="37"/>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G62" i="37"/>
  <c r="H62" i="37"/>
  <c r="I62" i="37"/>
  <c r="J62" i="37"/>
  <c r="K62" i="37"/>
  <c r="L62" i="37"/>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AT62" i="37"/>
  <c r="AU62" i="37"/>
  <c r="AV62" i="37"/>
  <c r="AW62" i="37"/>
  <c r="AX62" i="37"/>
  <c r="AY62" i="37"/>
  <c r="AZ62" i="37"/>
  <c r="BA62" i="37"/>
  <c r="BB62" i="37"/>
  <c r="BC62" i="37"/>
  <c r="BD62" i="37"/>
  <c r="BE62" i="37"/>
  <c r="BF62" i="37"/>
  <c r="BG62" i="37"/>
  <c r="BH62" i="37"/>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G63" i="37"/>
  <c r="H63" i="37"/>
  <c r="I63" i="37"/>
  <c r="J63" i="37"/>
  <c r="K63" i="37"/>
  <c r="L63" i="37"/>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G64" i="37"/>
  <c r="H64" i="37"/>
  <c r="I64" i="37"/>
  <c r="J64" i="37"/>
  <c r="K64" i="37"/>
  <c r="L64" i="37"/>
  <c r="M64" i="37"/>
  <c r="N64" i="37"/>
  <c r="O64" i="37"/>
  <c r="P64" i="37"/>
  <c r="Q64" i="37"/>
  <c r="R64" i="37"/>
  <c r="S64" i="37"/>
  <c r="T64" i="37"/>
  <c r="U64" i="37"/>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G65" i="37"/>
  <c r="H65" i="37"/>
  <c r="I65" i="37"/>
  <c r="J65" i="37"/>
  <c r="K65" i="37"/>
  <c r="L65" i="37"/>
  <c r="M65" i="37"/>
  <c r="N65" i="37"/>
  <c r="O65" i="37"/>
  <c r="P65" i="37"/>
  <c r="Q65" i="37"/>
  <c r="R65" i="37"/>
  <c r="S65" i="37"/>
  <c r="T65" i="37"/>
  <c r="U65" i="37"/>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G66" i="37"/>
  <c r="H66" i="37"/>
  <c r="I66" i="37"/>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G67" i="37"/>
  <c r="H67" i="37"/>
  <c r="I67" i="37"/>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G68" i="37"/>
  <c r="H68" i="37"/>
  <c r="I68" i="37"/>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G69" i="37"/>
  <c r="H69" i="37"/>
  <c r="I69" i="37"/>
  <c r="J69" i="37"/>
  <c r="K69" i="37"/>
  <c r="L69" i="37"/>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K76" i="37"/>
  <c r="L76" i="37"/>
  <c r="M76" i="37"/>
  <c r="N76" i="37"/>
  <c r="O76" i="37"/>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I80" i="37"/>
  <c r="J80" i="37"/>
  <c r="K80" i="37"/>
  <c r="L80" i="37"/>
  <c r="M80" i="37"/>
  <c r="N80" i="37"/>
  <c r="O80" i="37"/>
  <c r="P80" i="37"/>
  <c r="Q80" i="37"/>
  <c r="R80" i="37"/>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c r="D81" i="37"/>
  <c r="E81" i="37"/>
  <c r="F81" i="37"/>
  <c r="G81" i="37"/>
  <c r="H81" i="37"/>
  <c r="I81" i="37"/>
  <c r="J81" i="37"/>
  <c r="K81" i="37"/>
  <c r="L81" i="37"/>
  <c r="M81" i="37"/>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c r="D82" i="37"/>
  <c r="E82" i="37"/>
  <c r="F82" i="37"/>
  <c r="G82" i="37"/>
  <c r="H82" i="37"/>
  <c r="I82" i="37"/>
  <c r="J82" i="37"/>
  <c r="K82" i="37"/>
  <c r="L82" i="37"/>
  <c r="M82" i="37"/>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I83" i="37"/>
  <c r="J83" i="37"/>
  <c r="K83" i="37"/>
  <c r="L83" i="37"/>
  <c r="M83" i="37"/>
  <c r="N83" i="37"/>
  <c r="O83" i="37"/>
  <c r="P83" i="37"/>
  <c r="Q83" i="37"/>
  <c r="R83" i="37"/>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c r="D84" i="37"/>
  <c r="E84" i="37"/>
  <c r="F84" i="37"/>
  <c r="G84" i="37"/>
  <c r="H84" i="37"/>
  <c r="I84" i="37"/>
  <c r="J84" i="37"/>
  <c r="K84" i="37"/>
  <c r="L84" i="37"/>
  <c r="M84" i="37"/>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c r="D86" i="37"/>
  <c r="E86" i="37"/>
  <c r="F86" i="37"/>
  <c r="G86" i="37"/>
  <c r="H86" i="37"/>
  <c r="I86" i="37"/>
  <c r="J86" i="37"/>
  <c r="K86" i="37"/>
  <c r="L86" i="37"/>
  <c r="M86" i="37"/>
  <c r="N86" i="37"/>
  <c r="O86" i="37"/>
  <c r="P86" i="37"/>
  <c r="Q86" i="37"/>
  <c r="R86" i="37"/>
  <c r="S86" i="37"/>
  <c r="T86" i="37"/>
  <c r="U86" i="37"/>
  <c r="V86" i="37"/>
  <c r="W86" i="37"/>
  <c r="X86" i="37"/>
  <c r="Y86" i="37"/>
  <c r="Z86" i="37"/>
  <c r="AA86" i="37"/>
  <c r="AB86" i="37"/>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I88" i="37"/>
  <c r="J88" i="37"/>
  <c r="K88" i="37"/>
  <c r="L88" i="37"/>
  <c r="M88" i="37"/>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I89" i="37"/>
  <c r="J89" i="37"/>
  <c r="K89" i="37"/>
  <c r="L89" i="37"/>
  <c r="M89" i="37"/>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D94" i="37"/>
  <c r="E94" i="37" s="1"/>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s="1"/>
  <c r="D174" i="37" s="1"/>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G154" i="37"/>
  <c r="C155" i="37"/>
  <c r="D155" i="37"/>
  <c r="D165" i="37"/>
  <c r="D175" i="37" s="1"/>
  <c r="D185" i="37" s="1"/>
  <c r="D195" i="37" s="1"/>
  <c r="D205" i="37" s="1"/>
  <c r="D215" i="37" s="1"/>
  <c r="D225" i="37" s="1"/>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G155" i="37"/>
  <c r="C156" i="37"/>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56" i="37"/>
  <c r="C157" i="37"/>
  <c r="E157" i="37" s="1"/>
  <c r="D157" i="37"/>
  <c r="G157" i="37"/>
  <c r="C158" i="37"/>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58" i="37"/>
  <c r="C159" i="37"/>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59" i="37"/>
  <c r="C160" i="37"/>
  <c r="D160" i="37"/>
  <c r="D170" i="37"/>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60" i="37"/>
  <c r="C161" i="37"/>
  <c r="D161" i="37"/>
  <c r="G161" i="37"/>
  <c r="C162" i="37"/>
  <c r="D162" i="37"/>
  <c r="G162" i="37"/>
  <c r="G163" i="37"/>
  <c r="G164" i="37"/>
  <c r="G165" i="37"/>
  <c r="G166" i="37"/>
  <c r="D167" i="37"/>
  <c r="D177" i="37"/>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E644" i="37" s="1"/>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E694" i="37" s="1"/>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C764" i="37" s="1"/>
  <c r="C774" i="37" s="1"/>
  <c r="D754" i="37"/>
  <c r="D764" i="37" s="1"/>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G754" i="37"/>
  <c r="C755" i="37"/>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755" i="37"/>
  <c r="C756" i="37"/>
  <c r="D756" i="37"/>
  <c r="D766" i="37" s="1"/>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G756" i="37"/>
  <c r="C757" i="37"/>
  <c r="E757" i="37" s="1"/>
  <c r="D757" i="37"/>
  <c r="G757" i="37"/>
  <c r="C758" i="37"/>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758" i="37"/>
  <c r="C759" i="37"/>
  <c r="C769" i="37"/>
  <c r="D759" i="37"/>
  <c r="D769" i="37" s="1"/>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G759" i="37"/>
  <c r="C760" i="37"/>
  <c r="D760" i="37"/>
  <c r="G760" i="37"/>
  <c r="C761" i="37"/>
  <c r="D761" i="37"/>
  <c r="D771" i="37"/>
  <c r="D781" i="37"/>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761" i="37"/>
  <c r="C762" i="37"/>
  <c r="D762" i="37"/>
  <c r="D772" i="37"/>
  <c r="G762" i="37"/>
  <c r="G763" i="37"/>
  <c r="G764" i="37"/>
  <c r="G765" i="37"/>
  <c r="C766" i="37"/>
  <c r="G766" i="37"/>
  <c r="D767" i="37"/>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G767" i="37"/>
  <c r="G768" i="37"/>
  <c r="G769" i="37"/>
  <c r="C770" i="37"/>
  <c r="E770" i="37" s="1"/>
  <c r="D770" i="37"/>
  <c r="D780" i="37"/>
  <c r="D790" i="37" s="1"/>
  <c r="D800" i="37" s="1"/>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G770" i="37"/>
  <c r="G771" i="37"/>
  <c r="G772" i="37"/>
  <c r="D773" i="37"/>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G773" i="37"/>
  <c r="G774" i="37"/>
  <c r="G775" i="37"/>
  <c r="G776" i="37"/>
  <c r="G777" i="37"/>
  <c r="G778" i="37"/>
  <c r="G779" i="37"/>
  <c r="G780" i="37"/>
  <c r="G781" i="37"/>
  <c r="D782" i="37"/>
  <c r="D792" i="37"/>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E1244" i="37" s="1"/>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s="1"/>
  <c r="D1323" i="37" s="1"/>
  <c r="D1333" i="37" s="1"/>
  <c r="D1343" i="37" s="1"/>
  <c r="D1353" i="37" s="1"/>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G1303" i="37"/>
  <c r="C1304" i="37"/>
  <c r="D1304" i="37"/>
  <c r="D1314" i="37" s="1"/>
  <c r="D1324" i="37" s="1"/>
  <c r="D1334" i="37" s="1"/>
  <c r="D1344" i="37" s="1"/>
  <c r="D1354" i="37" s="1"/>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G1304" i="37"/>
  <c r="C1305" i="37"/>
  <c r="C1315" i="37"/>
  <c r="D1305" i="37"/>
  <c r="D1315" i="37" s="1"/>
  <c r="D1325" i="37" s="1"/>
  <c r="D1335" i="37" s="1"/>
  <c r="D1345" i="37" s="1"/>
  <c r="D1355" i="37" s="1"/>
  <c r="D1365" i="37" s="1"/>
  <c r="D1375" i="37" s="1"/>
  <c r="D1385" i="37" s="1"/>
  <c r="D1395" i="37" s="1"/>
  <c r="D1405" i="37" s="1"/>
  <c r="D1415" i="37" s="1"/>
  <c r="D1425" i="37" s="1"/>
  <c r="D1435" i="37" s="1"/>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G1305" i="37"/>
  <c r="C1306" i="37"/>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1306" i="37"/>
  <c r="C1307" i="37"/>
  <c r="D1307" i="37"/>
  <c r="D1317" i="37" s="1"/>
  <c r="D1327" i="37" s="1"/>
  <c r="D1337" i="37" s="1"/>
  <c r="D1347" i="37" s="1"/>
  <c r="D1357" i="37" s="1"/>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G1307" i="37"/>
  <c r="C1308" i="37"/>
  <c r="D1308" i="37"/>
  <c r="G1308" i="37"/>
  <c r="C1309" i="37"/>
  <c r="D1309" i="37"/>
  <c r="G1309" i="37"/>
  <c r="C1310" i="37"/>
  <c r="D1310" i="37"/>
  <c r="G1310" i="37"/>
  <c r="C1311" i="37"/>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1311" i="37"/>
  <c r="C1312" i="37"/>
  <c r="C1322" i="37" s="1"/>
  <c r="D1312" i="37"/>
  <c r="G1312" i="37"/>
  <c r="G1313" i="37"/>
  <c r="G1314" i="37"/>
  <c r="G1315" i="37"/>
  <c r="G1316" i="37"/>
  <c r="G1317" i="37"/>
  <c r="C1318" i="37"/>
  <c r="C1328" i="37" s="1"/>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E1794" i="37" s="1"/>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c r="D1873" i="37" s="1"/>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G1853" i="37"/>
  <c r="C1854" i="37"/>
  <c r="C1864" i="37"/>
  <c r="D1854" i="37"/>
  <c r="D1864" i="37" s="1"/>
  <c r="D1874" i="37" s="1"/>
  <c r="D1884" i="37" s="1"/>
  <c r="D1894" i="37" s="1"/>
  <c r="D1904" i="37" s="1"/>
  <c r="G1854" i="37"/>
  <c r="C1855" i="37"/>
  <c r="D1855" i="37"/>
  <c r="D1865" i="37"/>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G1855" i="37"/>
  <c r="C1856" i="37"/>
  <c r="D1856" i="37"/>
  <c r="D1866" i="37"/>
  <c r="D1876" i="37" s="1"/>
  <c r="D1886" i="37" s="1"/>
  <c r="D1896" i="37" s="1"/>
  <c r="G1856" i="37"/>
  <c r="C1857" i="37"/>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G1857" i="37"/>
  <c r="C1858" i="37"/>
  <c r="E1858" i="37" s="1"/>
  <c r="D1858" i="37"/>
  <c r="G1858" i="37"/>
  <c r="C1859" i="37"/>
  <c r="D1859" i="37"/>
  <c r="D1869" i="37" s="1"/>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G1859" i="37"/>
  <c r="C1860" i="37"/>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G1860" i="37"/>
  <c r="C1861" i="37"/>
  <c r="C1871" i="37"/>
  <c r="E1871" i="37" s="1"/>
  <c r="D1861" i="37"/>
  <c r="D1871" i="37"/>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G1861" i="37"/>
  <c r="C1862" i="37"/>
  <c r="D1862" i="37"/>
  <c r="G1862" i="37"/>
  <c r="G1863" i="37"/>
  <c r="G1864" i="37"/>
  <c r="G1865" i="37"/>
  <c r="G1866" i="37"/>
  <c r="G1867" i="37"/>
  <c r="G1868" i="37"/>
  <c r="G1869" i="37"/>
  <c r="G1870" i="37"/>
  <c r="G1871" i="37"/>
  <c r="D1872" i="37"/>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2" i="37"/>
  <c r="E772" i="37" s="1"/>
  <c r="D695" i="37"/>
  <c r="C776" i="37"/>
  <c r="C171" i="37"/>
  <c r="C167" i="37"/>
  <c r="C163" i="37"/>
  <c r="C172" i="37"/>
  <c r="C168" i="37"/>
  <c r="E168" i="37" s="1"/>
  <c r="D1914" i="37"/>
  <c r="D1924" i="37"/>
  <c r="D1934" i="37" s="1"/>
  <c r="D1944" i="37" s="1"/>
  <c r="D1954" i="37" s="1"/>
  <c r="D1964" i="37"/>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c r="D2254" i="37" s="1"/>
  <c r="D2264" i="37" s="1"/>
  <c r="D2274" i="37" s="1"/>
  <c r="D2284" i="37" s="1"/>
  <c r="D2294" i="37" s="1"/>
  <c r="D2304" i="37" s="1"/>
  <c r="D2314" i="37" s="1"/>
  <c r="D2324" i="37" s="1"/>
  <c r="D2334" i="37" s="1"/>
  <c r="D1906" i="37"/>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C1872" i="37"/>
  <c r="D1868" i="37"/>
  <c r="D1878" i="37"/>
  <c r="D1888" i="37"/>
  <c r="D1898" i="37" s="1"/>
  <c r="D1908" i="37" s="1"/>
  <c r="D1918" i="37" s="1"/>
  <c r="D1928" i="37"/>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C1867" i="37"/>
  <c r="C1877" i="37" s="1"/>
  <c r="D1320" i="37"/>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C1870" i="37"/>
  <c r="C1880" i="37"/>
  <c r="D1795" i="37"/>
  <c r="D1318" i="37"/>
  <c r="D1328" i="37" s="1"/>
  <c r="D1338" i="37" s="1"/>
  <c r="D1348" i="37" s="1"/>
  <c r="D1358" i="37" s="1"/>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C780" i="37"/>
  <c r="E780" i="37" s="1"/>
  <c r="C767" i="37"/>
  <c r="E767" i="37" s="1"/>
  <c r="C777" i="37"/>
  <c r="C765" i="37"/>
  <c r="E765" i="37" s="1"/>
  <c r="C775" i="37"/>
  <c r="C182" i="37"/>
  <c r="C192" i="37" s="1"/>
  <c r="C178" i="37"/>
  <c r="C1866" i="37"/>
  <c r="E1866" i="37" s="1"/>
  <c r="C1868" i="37"/>
  <c r="C779" i="37"/>
  <c r="C789" i="37" s="1"/>
  <c r="E789" i="37" s="1"/>
  <c r="C1320" i="37"/>
  <c r="C768" i="37"/>
  <c r="C170" i="37"/>
  <c r="C1325" i="37"/>
  <c r="E1325" i="37" s="1"/>
  <c r="D645" i="37"/>
  <c r="E645" i="37" s="1"/>
  <c r="D95" i="37"/>
  <c r="E95" i="37" s="1"/>
  <c r="C1317" i="37"/>
  <c r="C1327" i="37"/>
  <c r="E1327" i="37" s="1"/>
  <c r="C1874" i="37"/>
  <c r="C1884" i="37" s="1"/>
  <c r="D646" i="37"/>
  <c r="E646" i="37" s="1"/>
  <c r="C164" i="37"/>
  <c r="C782" i="37"/>
  <c r="E782" i="37" s="1"/>
  <c r="C1876" i="37"/>
  <c r="E1876" i="37" s="1"/>
  <c r="D96" i="37"/>
  <c r="C785" i="37"/>
  <c r="E785" i="37" s="1"/>
  <c r="C799" i="37"/>
  <c r="C1316" i="37"/>
  <c r="C1326" i="37" s="1"/>
  <c r="D1322" i="37"/>
  <c r="D1332" i="37" s="1"/>
  <c r="D1342" i="37" s="1"/>
  <c r="D1352" i="37" s="1"/>
  <c r="D1362" i="37" s="1"/>
  <c r="C1863" i="37"/>
  <c r="E1863" i="37" s="1"/>
  <c r="D1319" i="37"/>
  <c r="D1329" i="37" s="1"/>
  <c r="D1339" i="37" s="1"/>
  <c r="D1349" i="37" s="1"/>
  <c r="D1359" i="37"/>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D172" i="37"/>
  <c r="D163" i="37"/>
  <c r="D173" i="37" s="1"/>
  <c r="D183" i="37" s="1"/>
  <c r="D193" i="37" s="1"/>
  <c r="D203" i="37" s="1"/>
  <c r="D213" i="37" s="1"/>
  <c r="D223" i="37" s="1"/>
  <c r="D233" i="37" s="1"/>
  <c r="D243" i="37" s="1"/>
  <c r="D253" i="37" s="1"/>
  <c r="D263" i="37" s="1"/>
  <c r="D273" i="37" s="1"/>
  <c r="D283" i="37" s="1"/>
  <c r="D293" i="37" s="1"/>
  <c r="D303" i="37" s="1"/>
  <c r="D313" i="37" s="1"/>
  <c r="D323" i="37"/>
  <c r="D333" i="37" s="1"/>
  <c r="D343" i="37" s="1"/>
  <c r="D353" i="37" s="1"/>
  <c r="D363" i="37"/>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C166" i="37"/>
  <c r="D171" i="37"/>
  <c r="D181" i="37" s="1"/>
  <c r="C795" i="37"/>
  <c r="C1873" i="37"/>
  <c r="E1873" i="37" s="1"/>
  <c r="D182" i="37"/>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D191" i="37"/>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D1372" i="37"/>
  <c r="D1382" i="37" s="1"/>
  <c r="D1392" i="37" s="1"/>
  <c r="D1402" i="37" s="1"/>
  <c r="D1412" i="37" s="1"/>
  <c r="D1422" i="37" s="1"/>
  <c r="D1432" i="37"/>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E775" i="37" l="1"/>
  <c r="E762" i="37"/>
  <c r="E695" i="37"/>
  <c r="E1326" i="37"/>
  <c r="C1336" i="37"/>
  <c r="E1884" i="37"/>
  <c r="C1894" i="37"/>
  <c r="E1877" i="37"/>
  <c r="C1887" i="37"/>
  <c r="E774" i="37"/>
  <c r="C784" i="37"/>
  <c r="E1306" i="37"/>
  <c r="E766" i="37"/>
  <c r="E153" i="37"/>
  <c r="E1856" i="37"/>
  <c r="E1311" i="37"/>
  <c r="E761" i="37"/>
  <c r="C1883" i="37"/>
  <c r="E1883" i="37" s="1"/>
  <c r="E160" i="37"/>
  <c r="E776" i="37"/>
  <c r="C792" i="37"/>
  <c r="D696" i="37"/>
  <c r="C786" i="37"/>
  <c r="E786" i="37" s="1"/>
  <c r="E1303" i="37"/>
  <c r="E756" i="37"/>
  <c r="E768" i="37"/>
  <c r="D647" i="37"/>
  <c r="E1310" i="37"/>
  <c r="E760" i="37"/>
  <c r="C1886" i="37"/>
  <c r="C790" i="37"/>
  <c r="E1870" i="37"/>
  <c r="C1337" i="37"/>
  <c r="C1335" i="37"/>
  <c r="E1335" i="37" s="1"/>
  <c r="E1855" i="37"/>
  <c r="E1853" i="37"/>
  <c r="C771" i="37"/>
  <c r="E159" i="37"/>
  <c r="E1309" i="37"/>
  <c r="E1304" i="37"/>
  <c r="E1857" i="37"/>
  <c r="E155" i="37"/>
  <c r="E163" i="37"/>
  <c r="C173" i="37"/>
  <c r="E1336" i="37"/>
  <c r="C1346" i="37"/>
  <c r="E792" i="37"/>
  <c r="C802" i="37"/>
  <c r="E799" i="37"/>
  <c r="C809" i="37"/>
  <c r="E96" i="37"/>
  <c r="D97" i="37"/>
  <c r="E164" i="37"/>
  <c r="C174" i="37"/>
  <c r="E777" i="37"/>
  <c r="C787" i="37"/>
  <c r="E171" i="37"/>
  <c r="C181" i="37"/>
  <c r="E1894" i="37"/>
  <c r="C1904" i="37"/>
  <c r="E1886" i="37"/>
  <c r="C1896" i="37"/>
  <c r="E647" i="37"/>
  <c r="D648" i="37"/>
  <c r="E170" i="37"/>
  <c r="C180" i="37"/>
  <c r="E1320" i="37"/>
  <c r="C1330" i="37"/>
  <c r="E1245" i="37"/>
  <c r="D1246" i="37"/>
  <c r="E1328" i="37"/>
  <c r="C1338" i="37"/>
  <c r="E1322" i="37"/>
  <c r="C1332" i="37"/>
  <c r="E1337" i="37"/>
  <c r="C1347" i="37"/>
  <c r="E1880" i="37"/>
  <c r="C1890" i="37"/>
  <c r="E795" i="37"/>
  <c r="C805" i="37"/>
  <c r="E178" i="37"/>
  <c r="C188" i="37"/>
  <c r="E166" i="37"/>
  <c r="C176" i="37"/>
  <c r="E192" i="37"/>
  <c r="C202" i="37"/>
  <c r="C796" i="37"/>
  <c r="C778" i="37"/>
  <c r="E1868" i="37"/>
  <c r="C1878" i="37"/>
  <c r="E167" i="37"/>
  <c r="C177" i="37"/>
  <c r="E182" i="37"/>
  <c r="E1795" i="37"/>
  <c r="D1796" i="37"/>
  <c r="E1872" i="37"/>
  <c r="C1882" i="37"/>
  <c r="E1317" i="37"/>
  <c r="E172" i="37"/>
  <c r="E779" i="37"/>
  <c r="E753" i="37"/>
  <c r="C763" i="37"/>
  <c r="E1312" i="37"/>
  <c r="C1314" i="37"/>
  <c r="C1881" i="37"/>
  <c r="E1859" i="37"/>
  <c r="C1865" i="37"/>
  <c r="E1307" i="37"/>
  <c r="E1864" i="37"/>
  <c r="C1313" i="37"/>
  <c r="E1315" i="37"/>
  <c r="E1861" i="37"/>
  <c r="E1854" i="37"/>
  <c r="C1319" i="37"/>
  <c r="C1321" i="37"/>
  <c r="E1305" i="37"/>
  <c r="E1316" i="37"/>
  <c r="E1874" i="37"/>
  <c r="E1867" i="37"/>
  <c r="C1869" i="37"/>
  <c r="E1308" i="37"/>
  <c r="E1862" i="37"/>
  <c r="E1860" i="37"/>
  <c r="E1318" i="37"/>
  <c r="E755" i="37"/>
  <c r="E158" i="37"/>
  <c r="E764" i="37"/>
  <c r="E769" i="37"/>
  <c r="E759" i="37"/>
  <c r="E754" i="37"/>
  <c r="E162" i="37"/>
  <c r="C169" i="37"/>
  <c r="E154" i="37"/>
  <c r="E758" i="37"/>
  <c r="C165" i="37"/>
  <c r="E161" i="37"/>
  <c r="E156" i="37"/>
  <c r="E784" i="37" l="1"/>
  <c r="C794" i="37"/>
  <c r="E1887" i="37"/>
  <c r="C1897" i="37"/>
  <c r="C1345" i="37"/>
  <c r="E790" i="37"/>
  <c r="C800" i="37"/>
  <c r="C1893" i="37"/>
  <c r="E696" i="37"/>
  <c r="D697" i="37"/>
  <c r="E771" i="37"/>
  <c r="C781" i="37"/>
  <c r="E165" i="37"/>
  <c r="C175" i="37"/>
  <c r="E1796" i="37"/>
  <c r="D1797" i="37"/>
  <c r="E796" i="37"/>
  <c r="C806" i="37"/>
  <c r="E1246" i="37"/>
  <c r="D1247" i="37"/>
  <c r="E648" i="37"/>
  <c r="D649" i="37"/>
  <c r="E97" i="37"/>
  <c r="D98" i="37"/>
  <c r="E173" i="37"/>
  <c r="C183" i="37"/>
  <c r="E1313" i="37"/>
  <c r="C1323" i="37"/>
  <c r="E763" i="37"/>
  <c r="C773" i="37"/>
  <c r="E805" i="37"/>
  <c r="C815" i="37"/>
  <c r="E1347" i="37"/>
  <c r="C1357" i="37"/>
  <c r="E1330" i="37"/>
  <c r="C1340" i="37"/>
  <c r="E181" i="37"/>
  <c r="C191" i="37"/>
  <c r="E809" i="37"/>
  <c r="C819" i="37"/>
  <c r="E169" i="37"/>
  <c r="C179" i="37"/>
  <c r="E177" i="37"/>
  <c r="C187" i="37"/>
  <c r="E202" i="37"/>
  <c r="C212" i="37"/>
  <c r="E1890" i="37"/>
  <c r="C1900" i="37"/>
  <c r="E1321" i="37"/>
  <c r="C1331" i="37"/>
  <c r="E1865" i="37"/>
  <c r="C1875" i="37"/>
  <c r="E1332" i="37"/>
  <c r="C1342" i="37"/>
  <c r="E180" i="37"/>
  <c r="C190" i="37"/>
  <c r="E1896" i="37"/>
  <c r="C1906" i="37"/>
  <c r="E787" i="37"/>
  <c r="C797" i="37"/>
  <c r="E802" i="37"/>
  <c r="C812" i="37"/>
  <c r="E1319" i="37"/>
  <c r="C1329" i="37"/>
  <c r="E1878" i="37"/>
  <c r="C1888" i="37"/>
  <c r="E176" i="37"/>
  <c r="C186" i="37"/>
  <c r="E1345" i="37"/>
  <c r="C1355" i="37"/>
  <c r="E1881" i="37"/>
  <c r="C1891" i="37"/>
  <c r="E1882" i="37"/>
  <c r="C1892" i="37"/>
  <c r="E1338" i="37"/>
  <c r="C1348" i="37"/>
  <c r="E1893" i="37"/>
  <c r="C1903" i="37"/>
  <c r="E1904" i="37"/>
  <c r="C1914" i="37"/>
  <c r="E174" i="37"/>
  <c r="C184" i="37"/>
  <c r="E1346" i="37"/>
  <c r="C1356" i="37"/>
  <c r="E1869" i="37"/>
  <c r="C1879" i="37"/>
  <c r="E1314" i="37"/>
  <c r="C1324" i="37"/>
  <c r="E778" i="37"/>
  <c r="C788" i="37"/>
  <c r="E188" i="37"/>
  <c r="C198" i="37"/>
  <c r="C810" i="37" l="1"/>
  <c r="E800" i="37"/>
  <c r="E781" i="37"/>
  <c r="C791" i="37"/>
  <c r="C1907" i="37"/>
  <c r="E1897" i="37"/>
  <c r="E697" i="37"/>
  <c r="D698" i="37"/>
  <c r="E794" i="37"/>
  <c r="C804" i="37"/>
  <c r="E186" i="37"/>
  <c r="C196" i="37"/>
  <c r="E183" i="37"/>
  <c r="C193" i="37"/>
  <c r="E1888" i="37"/>
  <c r="C1898" i="37"/>
  <c r="E1348" i="37"/>
  <c r="C1358" i="37"/>
  <c r="E187" i="37"/>
  <c r="C197" i="37"/>
  <c r="E1247" i="37"/>
  <c r="D1248" i="37"/>
  <c r="E184" i="37"/>
  <c r="C194" i="37"/>
  <c r="E98" i="37"/>
  <c r="D99" i="37"/>
  <c r="E1324" i="37"/>
  <c r="C1334" i="37"/>
  <c r="E1914" i="37"/>
  <c r="C1924" i="37"/>
  <c r="E1891" i="37"/>
  <c r="C1901" i="37"/>
  <c r="E1329" i="37"/>
  <c r="C1339" i="37"/>
  <c r="E190" i="37"/>
  <c r="C200" i="37"/>
  <c r="E1900" i="37"/>
  <c r="C1910" i="37"/>
  <c r="E819" i="37"/>
  <c r="C829" i="37"/>
  <c r="E1357" i="37"/>
  <c r="C1367" i="37"/>
  <c r="E773" i="37"/>
  <c r="C783" i="37"/>
  <c r="E1797" i="37"/>
  <c r="D1798" i="37"/>
  <c r="E198" i="37"/>
  <c r="C208" i="37"/>
  <c r="E797" i="37"/>
  <c r="C807" i="37"/>
  <c r="E815" i="37"/>
  <c r="C825" i="37"/>
  <c r="E1892" i="37"/>
  <c r="C1902" i="37"/>
  <c r="E1331" i="37"/>
  <c r="C1341" i="37"/>
  <c r="E1340" i="37"/>
  <c r="C1350" i="37"/>
  <c r="E806" i="37"/>
  <c r="C816" i="37"/>
  <c r="E1356" i="37"/>
  <c r="C1366" i="37"/>
  <c r="E1875" i="37"/>
  <c r="C1885" i="37"/>
  <c r="E788" i="37"/>
  <c r="C798" i="37"/>
  <c r="E1906" i="37"/>
  <c r="C1916" i="37"/>
  <c r="E179" i="37"/>
  <c r="C189" i="37"/>
  <c r="E1879" i="37"/>
  <c r="C1889" i="37"/>
  <c r="E1903" i="37"/>
  <c r="C1913" i="37"/>
  <c r="E1355" i="37"/>
  <c r="C1365" i="37"/>
  <c r="E812" i="37"/>
  <c r="C822" i="37"/>
  <c r="E1342" i="37"/>
  <c r="C1352" i="37"/>
  <c r="E212" i="37"/>
  <c r="C222" i="37"/>
  <c r="E191" i="37"/>
  <c r="C201" i="37"/>
  <c r="E1323" i="37"/>
  <c r="C1333" i="37"/>
  <c r="E649" i="37"/>
  <c r="D650" i="37"/>
  <c r="E175" i="37"/>
  <c r="C185" i="37"/>
  <c r="E698" i="37" l="1"/>
  <c r="D699" i="37"/>
  <c r="E1907" i="37"/>
  <c r="C1917" i="37"/>
  <c r="E791" i="37"/>
  <c r="C801" i="37"/>
  <c r="E804" i="37"/>
  <c r="C814" i="37"/>
  <c r="E810" i="37"/>
  <c r="C820" i="37"/>
  <c r="E650" i="37"/>
  <c r="D651" i="37"/>
  <c r="E222" i="37"/>
  <c r="C232" i="37"/>
  <c r="E1913" i="37"/>
  <c r="C1923" i="37"/>
  <c r="E1916" i="37"/>
  <c r="C1926" i="37"/>
  <c r="E1366" i="37"/>
  <c r="C1376" i="37"/>
  <c r="E1902" i="37"/>
  <c r="C1912" i="37"/>
  <c r="E1798" i="37"/>
  <c r="D1799" i="37"/>
  <c r="E829" i="37"/>
  <c r="C839" i="37"/>
  <c r="E1901" i="37"/>
  <c r="C1911" i="37"/>
  <c r="E194" i="37"/>
  <c r="C204" i="37"/>
  <c r="E1333" i="37"/>
  <c r="C1343" i="37"/>
  <c r="E1352" i="37"/>
  <c r="C1362" i="37"/>
  <c r="E1889" i="37"/>
  <c r="C1899" i="37"/>
  <c r="E798" i="37"/>
  <c r="C808" i="37"/>
  <c r="E816" i="37"/>
  <c r="C826" i="37"/>
  <c r="E825" i="37"/>
  <c r="C835" i="37"/>
  <c r="E1910" i="37"/>
  <c r="C1920" i="37"/>
  <c r="E1924" i="37"/>
  <c r="C1934" i="37"/>
  <c r="E1248" i="37"/>
  <c r="D1249" i="37"/>
  <c r="E1898" i="37"/>
  <c r="C1908" i="37"/>
  <c r="E822" i="37"/>
  <c r="C832" i="37"/>
  <c r="E1350" i="37"/>
  <c r="C1360" i="37"/>
  <c r="E807" i="37"/>
  <c r="C817" i="37"/>
  <c r="E783" i="37"/>
  <c r="C793" i="37"/>
  <c r="E200" i="37"/>
  <c r="C210" i="37"/>
  <c r="E1334" i="37"/>
  <c r="C1344" i="37"/>
  <c r="E197" i="37"/>
  <c r="C207" i="37"/>
  <c r="E193" i="37"/>
  <c r="C203" i="37"/>
  <c r="E185" i="37"/>
  <c r="C195" i="37"/>
  <c r="E201" i="37"/>
  <c r="C211" i="37"/>
  <c r="E1365" i="37"/>
  <c r="C1375" i="37"/>
  <c r="E189" i="37"/>
  <c r="C199" i="37"/>
  <c r="E1885" i="37"/>
  <c r="C1895" i="37"/>
  <c r="E1341" i="37"/>
  <c r="C1351" i="37"/>
  <c r="E208" i="37"/>
  <c r="C218" i="37"/>
  <c r="E1367" i="37"/>
  <c r="C1377" i="37"/>
  <c r="E1339" i="37"/>
  <c r="C1349" i="37"/>
  <c r="E99" i="37"/>
  <c r="D100" i="37"/>
  <c r="E1358" i="37"/>
  <c r="C1368" i="37"/>
  <c r="E196" i="37"/>
  <c r="C206" i="37"/>
  <c r="E814" i="37" l="1"/>
  <c r="C824" i="37"/>
  <c r="E801" i="37"/>
  <c r="C811" i="37"/>
  <c r="E1917" i="37"/>
  <c r="C1927" i="37"/>
  <c r="E820" i="37"/>
  <c r="C830" i="37"/>
  <c r="E699" i="37"/>
  <c r="D700" i="37"/>
  <c r="E1368" i="37"/>
  <c r="C1378" i="37"/>
  <c r="E218" i="37"/>
  <c r="C228" i="37"/>
  <c r="E1375" i="37"/>
  <c r="C1385" i="37"/>
  <c r="E207" i="37"/>
  <c r="C217" i="37"/>
  <c r="E817" i="37"/>
  <c r="C827" i="37"/>
  <c r="E832" i="37"/>
  <c r="C842" i="37"/>
  <c r="E1934" i="37"/>
  <c r="C1944" i="37"/>
  <c r="E826" i="37"/>
  <c r="C836" i="37"/>
  <c r="E1343" i="37"/>
  <c r="C1353" i="37"/>
  <c r="E839" i="37"/>
  <c r="C849" i="37"/>
  <c r="E1926" i="37"/>
  <c r="C1936" i="37"/>
  <c r="E100" i="37"/>
  <c r="D101" i="37"/>
  <c r="E1351" i="37"/>
  <c r="C1361" i="37"/>
  <c r="E211" i="37"/>
  <c r="C221" i="37"/>
  <c r="E1344" i="37"/>
  <c r="C1354" i="37"/>
  <c r="E1360" i="37"/>
  <c r="C1370" i="37"/>
  <c r="E1920" i="37"/>
  <c r="C1930" i="37"/>
  <c r="E808" i="37"/>
  <c r="C818" i="37"/>
  <c r="E1799" i="37"/>
  <c r="D1800" i="37"/>
  <c r="E1923" i="37"/>
  <c r="C1933" i="37"/>
  <c r="E1349" i="37"/>
  <c r="C1359" i="37"/>
  <c r="E1895" i="37"/>
  <c r="C1905" i="37"/>
  <c r="E195" i="37"/>
  <c r="C205" i="37"/>
  <c r="E210" i="37"/>
  <c r="C220" i="37"/>
  <c r="E1908" i="37"/>
  <c r="C1918" i="37"/>
  <c r="E1899" i="37"/>
  <c r="C1909" i="37"/>
  <c r="E204" i="37"/>
  <c r="C214" i="37"/>
  <c r="E1912" i="37"/>
  <c r="C1922" i="37"/>
  <c r="E232" i="37"/>
  <c r="C242" i="37"/>
  <c r="E206" i="37"/>
  <c r="C216" i="37"/>
  <c r="E1377" i="37"/>
  <c r="C1387" i="37"/>
  <c r="E199" i="37"/>
  <c r="C209" i="37"/>
  <c r="E203" i="37"/>
  <c r="C213" i="37"/>
  <c r="E793" i="37"/>
  <c r="C803" i="37"/>
  <c r="E1249" i="37"/>
  <c r="D1250" i="37"/>
  <c r="E835" i="37"/>
  <c r="C845" i="37"/>
  <c r="E1362" i="37"/>
  <c r="C1372" i="37"/>
  <c r="E1911" i="37"/>
  <c r="C1921" i="37"/>
  <c r="E1376" i="37"/>
  <c r="C1386" i="37"/>
  <c r="E651" i="37"/>
  <c r="D652" i="37"/>
  <c r="E830" i="37" l="1"/>
  <c r="C840" i="37"/>
  <c r="E1927" i="37"/>
  <c r="C1937" i="37"/>
  <c r="E811" i="37"/>
  <c r="C821" i="37"/>
  <c r="E700" i="37"/>
  <c r="D701" i="37"/>
  <c r="E824" i="37"/>
  <c r="C834" i="37"/>
  <c r="E1354" i="37"/>
  <c r="C1364" i="37"/>
  <c r="E1386" i="37"/>
  <c r="C1396" i="37"/>
  <c r="E1250" i="37"/>
  <c r="D1251" i="37"/>
  <c r="E209" i="37"/>
  <c r="C219" i="37"/>
  <c r="E1922" i="37"/>
  <c r="C1932" i="37"/>
  <c r="E1918" i="37"/>
  <c r="C1928" i="37"/>
  <c r="E1905" i="37"/>
  <c r="C1915" i="37"/>
  <c r="E1370" i="37"/>
  <c r="C1380" i="37"/>
  <c r="E101" i="37"/>
  <c r="D102" i="37"/>
  <c r="E836" i="37"/>
  <c r="C846" i="37"/>
  <c r="E217" i="37"/>
  <c r="C227" i="37"/>
  <c r="E1387" i="37"/>
  <c r="C1397" i="37"/>
  <c r="E1385" i="37"/>
  <c r="C1395" i="37"/>
  <c r="E1372" i="37"/>
  <c r="C1382" i="37"/>
  <c r="E803" i="37"/>
  <c r="C813" i="37"/>
  <c r="E216" i="37"/>
  <c r="C226" i="37"/>
  <c r="E1909" i="37"/>
  <c r="C1919" i="37"/>
  <c r="E220" i="37"/>
  <c r="C230" i="37"/>
  <c r="E1933" i="37"/>
  <c r="C1943" i="37"/>
  <c r="E1930" i="37"/>
  <c r="C1940" i="37"/>
  <c r="E221" i="37"/>
  <c r="C231" i="37"/>
  <c r="E849" i="37"/>
  <c r="C859" i="37"/>
  <c r="E842" i="37"/>
  <c r="C852" i="37"/>
  <c r="E228" i="37"/>
  <c r="C238" i="37"/>
  <c r="E1359" i="37"/>
  <c r="C1369" i="37"/>
  <c r="E1936" i="37"/>
  <c r="C1946" i="37"/>
  <c r="E214" i="37"/>
  <c r="C224" i="37"/>
  <c r="E1944" i="37"/>
  <c r="C1954" i="37"/>
  <c r="E652" i="37"/>
  <c r="D653" i="37"/>
  <c r="E845" i="37"/>
  <c r="C855" i="37"/>
  <c r="E213" i="37"/>
  <c r="C223" i="37"/>
  <c r="E242" i="37"/>
  <c r="C252" i="37"/>
  <c r="E205" i="37"/>
  <c r="C215" i="37"/>
  <c r="E1800" i="37"/>
  <c r="D1801" i="37"/>
  <c r="E1361" i="37"/>
  <c r="C1371" i="37"/>
  <c r="E1353" i="37"/>
  <c r="C1363" i="37"/>
  <c r="E827" i="37"/>
  <c r="C837" i="37"/>
  <c r="E1378" i="37"/>
  <c r="C1388" i="37"/>
  <c r="E1921" i="37"/>
  <c r="C1931" i="37"/>
  <c r="E818" i="37"/>
  <c r="C828" i="37"/>
  <c r="E701" i="37" l="1"/>
  <c r="D702" i="37"/>
  <c r="E821" i="37"/>
  <c r="C831" i="37"/>
  <c r="E1937" i="37"/>
  <c r="C1947" i="37"/>
  <c r="E834" i="37"/>
  <c r="C844" i="37"/>
  <c r="C850" i="37"/>
  <c r="E840" i="37"/>
  <c r="E1931" i="37"/>
  <c r="C1941" i="37"/>
  <c r="E1371" i="37"/>
  <c r="C1381" i="37"/>
  <c r="E653" i="37"/>
  <c r="D654" i="37"/>
  <c r="E1369" i="37"/>
  <c r="C1379" i="37"/>
  <c r="E859" i="37"/>
  <c r="C869" i="37"/>
  <c r="E230" i="37"/>
  <c r="C240" i="37"/>
  <c r="E1382" i="37"/>
  <c r="C1392" i="37"/>
  <c r="E227" i="37"/>
  <c r="C237" i="37"/>
  <c r="E219" i="37"/>
  <c r="C229" i="37"/>
  <c r="E1388" i="37"/>
  <c r="C1398" i="37"/>
  <c r="E252" i="37"/>
  <c r="C262" i="37"/>
  <c r="E1919" i="37"/>
  <c r="C1929" i="37"/>
  <c r="E1251" i="37"/>
  <c r="D1252" i="37"/>
  <c r="E1954" i="37"/>
  <c r="C1964" i="37"/>
  <c r="E231" i="37"/>
  <c r="C241" i="37"/>
  <c r="E846" i="37"/>
  <c r="C856" i="37"/>
  <c r="E1915" i="37"/>
  <c r="C1925" i="37"/>
  <c r="E837" i="37"/>
  <c r="C847" i="37"/>
  <c r="E1801" i="37"/>
  <c r="D1802" i="37"/>
  <c r="E223" i="37"/>
  <c r="C233" i="37"/>
  <c r="E224" i="37"/>
  <c r="C234" i="37"/>
  <c r="E238" i="37"/>
  <c r="C248" i="37"/>
  <c r="E1940" i="37"/>
  <c r="C1950" i="37"/>
  <c r="E226" i="37"/>
  <c r="C236" i="37"/>
  <c r="E1395" i="37"/>
  <c r="C1405" i="37"/>
  <c r="E102" i="37"/>
  <c r="D103" i="37"/>
  <c r="E1928" i="37"/>
  <c r="C1938" i="37"/>
  <c r="E1396" i="37"/>
  <c r="C1406" i="37"/>
  <c r="E828" i="37"/>
  <c r="C838" i="37"/>
  <c r="E1363" i="37"/>
  <c r="C1373" i="37"/>
  <c r="E215" i="37"/>
  <c r="C225" i="37"/>
  <c r="E855" i="37"/>
  <c r="C865" i="37"/>
  <c r="E1946" i="37"/>
  <c r="C1956" i="37"/>
  <c r="E852" i="37"/>
  <c r="C862" i="37"/>
  <c r="E1943" i="37"/>
  <c r="C1953" i="37"/>
  <c r="E813" i="37"/>
  <c r="C823" i="37"/>
  <c r="E1397" i="37"/>
  <c r="C1407" i="37"/>
  <c r="E1380" i="37"/>
  <c r="C1390" i="37"/>
  <c r="E1932" i="37"/>
  <c r="C1942" i="37"/>
  <c r="E1364" i="37"/>
  <c r="C1374" i="37"/>
  <c r="E844" i="37" l="1"/>
  <c r="C854" i="37"/>
  <c r="E1947" i="37"/>
  <c r="C1957" i="37"/>
  <c r="E831" i="37"/>
  <c r="C841" i="37"/>
  <c r="E702" i="37"/>
  <c r="D703" i="37"/>
  <c r="C860" i="37"/>
  <c r="E850" i="37"/>
  <c r="E1942" i="37"/>
  <c r="C1952" i="37"/>
  <c r="E1953" i="37"/>
  <c r="C1963" i="37"/>
  <c r="E225" i="37"/>
  <c r="C235" i="37"/>
  <c r="E1938" i="37"/>
  <c r="C1948" i="37"/>
  <c r="E1950" i="37"/>
  <c r="C1960" i="37"/>
  <c r="E1802" i="37"/>
  <c r="D1803" i="37"/>
  <c r="E1252" i="37"/>
  <c r="D1253" i="37"/>
  <c r="E1398" i="37"/>
  <c r="C1408" i="37"/>
  <c r="E1392" i="37"/>
  <c r="C1402" i="37"/>
  <c r="E654" i="37"/>
  <c r="D655" i="37"/>
  <c r="E1373" i="37"/>
  <c r="C1383" i="37"/>
  <c r="E1929" i="37"/>
  <c r="C1939" i="37"/>
  <c r="E1390" i="37"/>
  <c r="C1400" i="37"/>
  <c r="E862" i="37"/>
  <c r="C872" i="37"/>
  <c r="E103" i="37"/>
  <c r="D104" i="37"/>
  <c r="E248" i="37"/>
  <c r="C258" i="37"/>
  <c r="E847" i="37"/>
  <c r="C857" i="37"/>
  <c r="E241" i="37"/>
  <c r="C251" i="37"/>
  <c r="E229" i="37"/>
  <c r="C239" i="37"/>
  <c r="E240" i="37"/>
  <c r="C250" i="37"/>
  <c r="E1407" i="37"/>
  <c r="C1417" i="37"/>
  <c r="E1956" i="37"/>
  <c r="C1966" i="37"/>
  <c r="E838" i="37"/>
  <c r="C848" i="37"/>
  <c r="E1405" i="37"/>
  <c r="C1415" i="37"/>
  <c r="E234" i="37"/>
  <c r="C244" i="37"/>
  <c r="E1925" i="37"/>
  <c r="C1935" i="37"/>
  <c r="E1964" i="37"/>
  <c r="C1974" i="37"/>
  <c r="E869" i="37"/>
  <c r="C879" i="37"/>
  <c r="E1381" i="37"/>
  <c r="C1391" i="37"/>
  <c r="E1374" i="37"/>
  <c r="C1384" i="37"/>
  <c r="E823" i="37"/>
  <c r="C833" i="37"/>
  <c r="E865" i="37"/>
  <c r="C875" i="37"/>
  <c r="E1406" i="37"/>
  <c r="C1416" i="37"/>
  <c r="E236" i="37"/>
  <c r="C246" i="37"/>
  <c r="E233" i="37"/>
  <c r="C243" i="37"/>
  <c r="E856" i="37"/>
  <c r="C866" i="37"/>
  <c r="E262" i="37"/>
  <c r="C272" i="37"/>
  <c r="E237" i="37"/>
  <c r="C247" i="37"/>
  <c r="E1379" i="37"/>
  <c r="C1389" i="37"/>
  <c r="E1941" i="37"/>
  <c r="C1951" i="37"/>
  <c r="E703" i="37" l="1"/>
  <c r="D704" i="37"/>
  <c r="E841" i="37"/>
  <c r="C851" i="37"/>
  <c r="E1957" i="37"/>
  <c r="C1967" i="37"/>
  <c r="E854" i="37"/>
  <c r="C864" i="37"/>
  <c r="E860" i="37"/>
  <c r="C870" i="37"/>
  <c r="E1389" i="37"/>
  <c r="C1399" i="37"/>
  <c r="E866" i="37"/>
  <c r="C876" i="37"/>
  <c r="E875" i="37"/>
  <c r="C885" i="37"/>
  <c r="E879" i="37"/>
  <c r="C889" i="37"/>
  <c r="E1935" i="37"/>
  <c r="C1945" i="37"/>
  <c r="E1966" i="37"/>
  <c r="C1976" i="37"/>
  <c r="E239" i="37"/>
  <c r="C249" i="37"/>
  <c r="E104" i="37"/>
  <c r="D105" i="37"/>
  <c r="E1383" i="37"/>
  <c r="C1393" i="37"/>
  <c r="E1253" i="37"/>
  <c r="D1254" i="37"/>
  <c r="E1948" i="37"/>
  <c r="C1958" i="37"/>
  <c r="E243" i="37"/>
  <c r="C253" i="37"/>
  <c r="E1417" i="37"/>
  <c r="C1427" i="37"/>
  <c r="E247" i="37"/>
  <c r="C257" i="37"/>
  <c r="E833" i="37"/>
  <c r="C843" i="37"/>
  <c r="E244" i="37"/>
  <c r="C254" i="37"/>
  <c r="E251" i="37"/>
  <c r="C261" i="37"/>
  <c r="E872" i="37"/>
  <c r="C882" i="37"/>
  <c r="E655" i="37"/>
  <c r="D656" i="37"/>
  <c r="E235" i="37"/>
  <c r="C245" i="37"/>
  <c r="E272" i="37"/>
  <c r="C282" i="37"/>
  <c r="E246" i="37"/>
  <c r="C256" i="37"/>
  <c r="E1384" i="37"/>
  <c r="C1394" i="37"/>
  <c r="E1415" i="37"/>
  <c r="C1425" i="37"/>
  <c r="E857" i="37"/>
  <c r="C867" i="37"/>
  <c r="E1400" i="37"/>
  <c r="C1410" i="37"/>
  <c r="E1402" i="37"/>
  <c r="C1412" i="37"/>
  <c r="E1803" i="37"/>
  <c r="D1804" i="37"/>
  <c r="E1963" i="37"/>
  <c r="C1973" i="37"/>
  <c r="E1951" i="37"/>
  <c r="C1961" i="37"/>
  <c r="E1416" i="37"/>
  <c r="C1426" i="37"/>
  <c r="E1391" i="37"/>
  <c r="C1401" i="37"/>
  <c r="E1974" i="37"/>
  <c r="C1984" i="37"/>
  <c r="E848" i="37"/>
  <c r="C858" i="37"/>
  <c r="E250" i="37"/>
  <c r="C260" i="37"/>
  <c r="E258" i="37"/>
  <c r="C268" i="37"/>
  <c r="E1939" i="37"/>
  <c r="C1949" i="37"/>
  <c r="E1408" i="37"/>
  <c r="C1418" i="37"/>
  <c r="E1960" i="37"/>
  <c r="C1970" i="37"/>
  <c r="E1952" i="37"/>
  <c r="C1962" i="37"/>
  <c r="E864" i="37" l="1"/>
  <c r="C874" i="37"/>
  <c r="E1967" i="37"/>
  <c r="C1977" i="37"/>
  <c r="E851" i="37"/>
  <c r="C861" i="37"/>
  <c r="E870" i="37"/>
  <c r="C880" i="37"/>
  <c r="E704" i="37"/>
  <c r="D705" i="37"/>
  <c r="E1970" i="37"/>
  <c r="C1980" i="37"/>
  <c r="E260" i="37"/>
  <c r="C270" i="37"/>
  <c r="E1426" i="37"/>
  <c r="C1436" i="37"/>
  <c r="E1804" i="37"/>
  <c r="D1805" i="37"/>
  <c r="E256" i="37"/>
  <c r="C266" i="37"/>
  <c r="E656" i="37"/>
  <c r="D657" i="37"/>
  <c r="E253" i="37"/>
  <c r="C263" i="37"/>
  <c r="E105" i="37"/>
  <c r="D106" i="37"/>
  <c r="E889" i="37"/>
  <c r="C899" i="37"/>
  <c r="E1418" i="37"/>
  <c r="C1428" i="37"/>
  <c r="E858" i="37"/>
  <c r="C868" i="37"/>
  <c r="E1412" i="37"/>
  <c r="C1422" i="37"/>
  <c r="E1425" i="37"/>
  <c r="C1435" i="37"/>
  <c r="E282" i="37"/>
  <c r="C292" i="37"/>
  <c r="E882" i="37"/>
  <c r="C892" i="37"/>
  <c r="E843" i="37"/>
  <c r="C853" i="37"/>
  <c r="E1958" i="37"/>
  <c r="C1968" i="37"/>
  <c r="E249" i="37"/>
  <c r="C259" i="37"/>
  <c r="E885" i="37"/>
  <c r="C895" i="37"/>
  <c r="E1949" i="37"/>
  <c r="C1959" i="37"/>
  <c r="E1984" i="37"/>
  <c r="C1994" i="37"/>
  <c r="E1961" i="37"/>
  <c r="C1971" i="37"/>
  <c r="E1410" i="37"/>
  <c r="C1420" i="37"/>
  <c r="E245" i="37"/>
  <c r="C255" i="37"/>
  <c r="E261" i="37"/>
  <c r="C271" i="37"/>
  <c r="E257" i="37"/>
  <c r="C267" i="37"/>
  <c r="E1254" i="37"/>
  <c r="D1255" i="37"/>
  <c r="E1976" i="37"/>
  <c r="C1986" i="37"/>
  <c r="E876" i="37"/>
  <c r="C886" i="37"/>
  <c r="E1962" i="37"/>
  <c r="C1972" i="37"/>
  <c r="E268" i="37"/>
  <c r="C278" i="37"/>
  <c r="E1401" i="37"/>
  <c r="C1411" i="37"/>
  <c r="E1973" i="37"/>
  <c r="C1983" i="37"/>
  <c r="E867" i="37"/>
  <c r="C877" i="37"/>
  <c r="E1394" i="37"/>
  <c r="C1404" i="37"/>
  <c r="E254" i="37"/>
  <c r="C264" i="37"/>
  <c r="E1427" i="37"/>
  <c r="C1437" i="37"/>
  <c r="E1393" i="37"/>
  <c r="C1403" i="37"/>
  <c r="E1945" i="37"/>
  <c r="C1955" i="37"/>
  <c r="E1399" i="37"/>
  <c r="C1409" i="37"/>
  <c r="E880" i="37" l="1"/>
  <c r="C890" i="37"/>
  <c r="E861" i="37"/>
  <c r="C871" i="37"/>
  <c r="E1977" i="37"/>
  <c r="C1987" i="37"/>
  <c r="E705" i="37"/>
  <c r="D706" i="37"/>
  <c r="E874" i="37"/>
  <c r="C884" i="37"/>
  <c r="E1955" i="37"/>
  <c r="C1965" i="37"/>
  <c r="E1411" i="37"/>
  <c r="C1421" i="37"/>
  <c r="E1986" i="37"/>
  <c r="C1996" i="37"/>
  <c r="E255" i="37"/>
  <c r="C265" i="37"/>
  <c r="E1994" i="37"/>
  <c r="C2004" i="37"/>
  <c r="E1968" i="37"/>
  <c r="C1978" i="37"/>
  <c r="E1435" i="37"/>
  <c r="C1445" i="37"/>
  <c r="E1428" i="37"/>
  <c r="C1438" i="37"/>
  <c r="E1805" i="37"/>
  <c r="D1806" i="37"/>
  <c r="E1403" i="37"/>
  <c r="C1413" i="37"/>
  <c r="E1404" i="37"/>
  <c r="C1414" i="37"/>
  <c r="E278" i="37"/>
  <c r="C288" i="37"/>
  <c r="E1255" i="37"/>
  <c r="D1256" i="37"/>
  <c r="E1959" i="37"/>
  <c r="C1969" i="37"/>
  <c r="E853" i="37"/>
  <c r="C863" i="37"/>
  <c r="E1422" i="37"/>
  <c r="C1432" i="37"/>
  <c r="E899" i="37"/>
  <c r="C909" i="37"/>
  <c r="E657" i="37"/>
  <c r="D658" i="37"/>
  <c r="E1436" i="37"/>
  <c r="C1446" i="37"/>
  <c r="E1437" i="37"/>
  <c r="C1447" i="37"/>
  <c r="E877" i="37"/>
  <c r="C887" i="37"/>
  <c r="E1972" i="37"/>
  <c r="C1982" i="37"/>
  <c r="E267" i="37"/>
  <c r="C277" i="37"/>
  <c r="E1420" i="37"/>
  <c r="C1430" i="37"/>
  <c r="E895" i="37"/>
  <c r="C905" i="37"/>
  <c r="E892" i="37"/>
  <c r="C902" i="37"/>
  <c r="E106" i="37"/>
  <c r="D107" i="37"/>
  <c r="E266" i="37"/>
  <c r="C276" i="37"/>
  <c r="E270" i="37"/>
  <c r="C280" i="37"/>
  <c r="E1409" i="37"/>
  <c r="C1419" i="37"/>
  <c r="E264" i="37"/>
  <c r="C274" i="37"/>
  <c r="E1983" i="37"/>
  <c r="C1993" i="37"/>
  <c r="E886" i="37"/>
  <c r="C896" i="37"/>
  <c r="E271" i="37"/>
  <c r="C281" i="37"/>
  <c r="E1971" i="37"/>
  <c r="C1981" i="37"/>
  <c r="E259" i="37"/>
  <c r="C269" i="37"/>
  <c r="E292" i="37"/>
  <c r="C302" i="37"/>
  <c r="E868" i="37"/>
  <c r="C878" i="37"/>
  <c r="E263" i="37"/>
  <c r="C273" i="37"/>
  <c r="E1980" i="37"/>
  <c r="C1990" i="37"/>
  <c r="D707" i="37" l="1"/>
  <c r="E706" i="37"/>
  <c r="E1987" i="37"/>
  <c r="C1997" i="37"/>
  <c r="E871" i="37"/>
  <c r="C881" i="37"/>
  <c r="E884" i="37"/>
  <c r="C894" i="37"/>
  <c r="E890" i="37"/>
  <c r="C900" i="37"/>
  <c r="E269" i="37"/>
  <c r="C279" i="37"/>
  <c r="E1993" i="37"/>
  <c r="C2003" i="37"/>
  <c r="E276" i="37"/>
  <c r="C286" i="37"/>
  <c r="E905" i="37"/>
  <c r="C915" i="37"/>
  <c r="E887" i="37"/>
  <c r="C897" i="37"/>
  <c r="E909" i="37"/>
  <c r="C919" i="37"/>
  <c r="E1413" i="37"/>
  <c r="C1423" i="37"/>
  <c r="E1445" i="37"/>
  <c r="C1455" i="37"/>
  <c r="E1996" i="37"/>
  <c r="C2006" i="37"/>
  <c r="E273" i="37"/>
  <c r="C283" i="37"/>
  <c r="E1981" i="37"/>
  <c r="C1991" i="37"/>
  <c r="E274" i="37"/>
  <c r="C284" i="37"/>
  <c r="E107" i="37"/>
  <c r="D108" i="37"/>
  <c r="E1430" i="37"/>
  <c r="C1440" i="37"/>
  <c r="E1447" i="37"/>
  <c r="C1457" i="37"/>
  <c r="E1432" i="37"/>
  <c r="C1442" i="37"/>
  <c r="E1256" i="37"/>
  <c r="D1257" i="37"/>
  <c r="E1806" i="37"/>
  <c r="D1807" i="37"/>
  <c r="E1978" i="37"/>
  <c r="C1988" i="37"/>
  <c r="E1421" i="37"/>
  <c r="C1431" i="37"/>
  <c r="E878" i="37"/>
  <c r="C888" i="37"/>
  <c r="E281" i="37"/>
  <c r="C291" i="37"/>
  <c r="E1419" i="37"/>
  <c r="C1429" i="37"/>
  <c r="E277" i="37"/>
  <c r="C287" i="37"/>
  <c r="E1446" i="37"/>
  <c r="C1456" i="37"/>
  <c r="E863" i="37"/>
  <c r="C873" i="37"/>
  <c r="E288" i="37"/>
  <c r="C298" i="37"/>
  <c r="E2004" i="37"/>
  <c r="C2014" i="37"/>
  <c r="E1990" i="37"/>
  <c r="C2000" i="37"/>
  <c r="E302" i="37"/>
  <c r="C312" i="37"/>
  <c r="E896" i="37"/>
  <c r="C906" i="37"/>
  <c r="E280" i="37"/>
  <c r="C290" i="37"/>
  <c r="E902" i="37"/>
  <c r="C912" i="37"/>
  <c r="E1982" i="37"/>
  <c r="C1992" i="37"/>
  <c r="E658" i="37"/>
  <c r="D659" i="37"/>
  <c r="E1969" i="37"/>
  <c r="C1979" i="37"/>
  <c r="E1414" i="37"/>
  <c r="C1424" i="37"/>
  <c r="E1438" i="37"/>
  <c r="C1448" i="37"/>
  <c r="E265" i="37"/>
  <c r="C275" i="37"/>
  <c r="E1965" i="37"/>
  <c r="C1975" i="37"/>
  <c r="E894" i="37" l="1"/>
  <c r="C904" i="37"/>
  <c r="E881" i="37"/>
  <c r="C891" i="37"/>
  <c r="C2007" i="37"/>
  <c r="E1997" i="37"/>
  <c r="E900" i="37"/>
  <c r="C910" i="37"/>
  <c r="E707" i="37"/>
  <c r="D708" i="37"/>
  <c r="E275" i="37"/>
  <c r="C285" i="37"/>
  <c r="E659" i="37"/>
  <c r="D660" i="37"/>
  <c r="E906" i="37"/>
  <c r="C916" i="37"/>
  <c r="E2014" i="37"/>
  <c r="C2024" i="37"/>
  <c r="E1456" i="37"/>
  <c r="C1466" i="37"/>
  <c r="E291" i="37"/>
  <c r="C301" i="37"/>
  <c r="E1807" i="37"/>
  <c r="D1808" i="37"/>
  <c r="E1440" i="37"/>
  <c r="C1450" i="37"/>
  <c r="E283" i="37"/>
  <c r="C293" i="37"/>
  <c r="E286" i="37"/>
  <c r="C296" i="37"/>
  <c r="E1448" i="37"/>
  <c r="C1458" i="37"/>
  <c r="E1992" i="37"/>
  <c r="C2002" i="37"/>
  <c r="E312" i="37"/>
  <c r="C322" i="37"/>
  <c r="E287" i="37"/>
  <c r="C297" i="37"/>
  <c r="E888" i="37"/>
  <c r="C898" i="37"/>
  <c r="E1257" i="37"/>
  <c r="D1258" i="37"/>
  <c r="E108" i="37"/>
  <c r="D109" i="37"/>
  <c r="E2006" i="37"/>
  <c r="C2016" i="37"/>
  <c r="E919" i="37"/>
  <c r="C929" i="37"/>
  <c r="E2003" i="37"/>
  <c r="C2013" i="37"/>
  <c r="E1424" i="37"/>
  <c r="C1434" i="37"/>
  <c r="E912" i="37"/>
  <c r="C922" i="37"/>
  <c r="E2000" i="37"/>
  <c r="C2010" i="37"/>
  <c r="E298" i="37"/>
  <c r="C308" i="37"/>
  <c r="E1431" i="37"/>
  <c r="C1441" i="37"/>
  <c r="E1442" i="37"/>
  <c r="C1452" i="37"/>
  <c r="E284" i="37"/>
  <c r="C294" i="37"/>
  <c r="E1455" i="37"/>
  <c r="C1465" i="37"/>
  <c r="E897" i="37"/>
  <c r="C907" i="37"/>
  <c r="E279" i="37"/>
  <c r="C289" i="37"/>
  <c r="E1975" i="37"/>
  <c r="C1985" i="37"/>
  <c r="E1979" i="37"/>
  <c r="C1989" i="37"/>
  <c r="E290" i="37"/>
  <c r="C300" i="37"/>
  <c r="E873" i="37"/>
  <c r="C883" i="37"/>
  <c r="E1429" i="37"/>
  <c r="C1439" i="37"/>
  <c r="E1988" i="37"/>
  <c r="C1998" i="37"/>
  <c r="E1457" i="37"/>
  <c r="C1467" i="37"/>
  <c r="E1991" i="37"/>
  <c r="C2001" i="37"/>
  <c r="E1423" i="37"/>
  <c r="C1433" i="37"/>
  <c r="E915" i="37"/>
  <c r="C925" i="37"/>
  <c r="E910" i="37" l="1"/>
  <c r="C920" i="37"/>
  <c r="E2007" i="37"/>
  <c r="C2017" i="37"/>
  <c r="E891" i="37"/>
  <c r="C901" i="37"/>
  <c r="E708" i="37"/>
  <c r="D709" i="37"/>
  <c r="E904" i="37"/>
  <c r="C914" i="37"/>
  <c r="E925" i="37"/>
  <c r="C935" i="37"/>
  <c r="E1998" i="37"/>
  <c r="C2008" i="37"/>
  <c r="E300" i="37"/>
  <c r="C310" i="37"/>
  <c r="E907" i="37"/>
  <c r="C917" i="37"/>
  <c r="E1441" i="37"/>
  <c r="C1451" i="37"/>
  <c r="E922" i="37"/>
  <c r="C932" i="37"/>
  <c r="E2016" i="37"/>
  <c r="C2026" i="37"/>
  <c r="E297" i="37"/>
  <c r="C307" i="37"/>
  <c r="E1458" i="37"/>
  <c r="C1468" i="37"/>
  <c r="E1450" i="37"/>
  <c r="C1460" i="37"/>
  <c r="E2024" i="37"/>
  <c r="C2034" i="37"/>
  <c r="E1433" i="37"/>
  <c r="C1443" i="37"/>
  <c r="E1439" i="37"/>
  <c r="C1449" i="37"/>
  <c r="E1989" i="37"/>
  <c r="C1999" i="37"/>
  <c r="E1465" i="37"/>
  <c r="C1475" i="37"/>
  <c r="E1434" i="37"/>
  <c r="C1444" i="37"/>
  <c r="E109" i="37"/>
  <c r="D110" i="37"/>
  <c r="E296" i="37"/>
  <c r="C306" i="37"/>
  <c r="E1808" i="37"/>
  <c r="D1809" i="37"/>
  <c r="E916" i="37"/>
  <c r="C926" i="37"/>
  <c r="E2001" i="37"/>
  <c r="C2011" i="37"/>
  <c r="E883" i="37"/>
  <c r="C893" i="37"/>
  <c r="E1985" i="37"/>
  <c r="C1995" i="37"/>
  <c r="E294" i="37"/>
  <c r="C304" i="37"/>
  <c r="E308" i="37"/>
  <c r="C318" i="37"/>
  <c r="E2013" i="37"/>
  <c r="C2023" i="37"/>
  <c r="E1258" i="37"/>
  <c r="D1259" i="37"/>
  <c r="E322" i="37"/>
  <c r="C332" i="37"/>
  <c r="E301" i="37"/>
  <c r="C311" i="37"/>
  <c r="E660" i="37"/>
  <c r="D661" i="37"/>
  <c r="E1467" i="37"/>
  <c r="C1477" i="37"/>
  <c r="E289" i="37"/>
  <c r="C299" i="37"/>
  <c r="E1452" i="37"/>
  <c r="C1462" i="37"/>
  <c r="E2010" i="37"/>
  <c r="C2020" i="37"/>
  <c r="E929" i="37"/>
  <c r="C939" i="37"/>
  <c r="E898" i="37"/>
  <c r="C908" i="37"/>
  <c r="E2002" i="37"/>
  <c r="C2012" i="37"/>
  <c r="E293" i="37"/>
  <c r="C303" i="37"/>
  <c r="E1466" i="37"/>
  <c r="C1476" i="37"/>
  <c r="E285" i="37"/>
  <c r="C295" i="37"/>
  <c r="E709" i="37" l="1"/>
  <c r="D710" i="37"/>
  <c r="E901" i="37"/>
  <c r="C911" i="37"/>
  <c r="E2017" i="37"/>
  <c r="C2027" i="37"/>
  <c r="E914" i="37"/>
  <c r="C924" i="37"/>
  <c r="E920" i="37"/>
  <c r="C930" i="37"/>
  <c r="E1476" i="37"/>
  <c r="C1486" i="37"/>
  <c r="E939" i="37"/>
  <c r="C949" i="37"/>
  <c r="E311" i="37"/>
  <c r="C321" i="37"/>
  <c r="E2023" i="37"/>
  <c r="C2033" i="37"/>
  <c r="E893" i="37"/>
  <c r="C903" i="37"/>
  <c r="E306" i="37"/>
  <c r="C316" i="37"/>
  <c r="E1443" i="37"/>
  <c r="C1453" i="37"/>
  <c r="E307" i="37"/>
  <c r="C317" i="37"/>
  <c r="E917" i="37"/>
  <c r="C927" i="37"/>
  <c r="E303" i="37"/>
  <c r="C313" i="37"/>
  <c r="E2020" i="37"/>
  <c r="C2030" i="37"/>
  <c r="E1477" i="37"/>
  <c r="C1487" i="37"/>
  <c r="E318" i="37"/>
  <c r="C328" i="37"/>
  <c r="E2011" i="37"/>
  <c r="C2021" i="37"/>
  <c r="E1475" i="37"/>
  <c r="C1485" i="37"/>
  <c r="E2034" i="37"/>
  <c r="C2044" i="37"/>
  <c r="E2026" i="37"/>
  <c r="C2036" i="37"/>
  <c r="E310" i="37"/>
  <c r="C320" i="37"/>
  <c r="E2012" i="37"/>
  <c r="C2022" i="37"/>
  <c r="E1462" i="37"/>
  <c r="C1472" i="37"/>
  <c r="E332" i="37"/>
  <c r="C342" i="37"/>
  <c r="E304" i="37"/>
  <c r="C314" i="37"/>
  <c r="E926" i="37"/>
  <c r="C936" i="37"/>
  <c r="E110" i="37"/>
  <c r="D111" i="37"/>
  <c r="E1999" i="37"/>
  <c r="C2009" i="37"/>
  <c r="E1460" i="37"/>
  <c r="C1470" i="37"/>
  <c r="E932" i="37"/>
  <c r="C942" i="37"/>
  <c r="E2008" i="37"/>
  <c r="C2018" i="37"/>
  <c r="E295" i="37"/>
  <c r="C305" i="37"/>
  <c r="E908" i="37"/>
  <c r="C918" i="37"/>
  <c r="E299" i="37"/>
  <c r="C309" i="37"/>
  <c r="E661" i="37"/>
  <c r="D662" i="37"/>
  <c r="E1259" i="37"/>
  <c r="D1260" i="37"/>
  <c r="E1995" i="37"/>
  <c r="C2005" i="37"/>
  <c r="E1809" i="37"/>
  <c r="D1810" i="37"/>
  <c r="E1444" i="37"/>
  <c r="C1454" i="37"/>
  <c r="E1449" i="37"/>
  <c r="C1459" i="37"/>
  <c r="E1468" i="37"/>
  <c r="C1478" i="37"/>
  <c r="E1451" i="37"/>
  <c r="C1461" i="37"/>
  <c r="E935" i="37"/>
  <c r="C945" i="37"/>
  <c r="C934" i="37" l="1"/>
  <c r="E924" i="37"/>
  <c r="E2027" i="37"/>
  <c r="C2037" i="37"/>
  <c r="E911" i="37"/>
  <c r="C921" i="37"/>
  <c r="E930" i="37"/>
  <c r="C940" i="37"/>
  <c r="E710" i="37"/>
  <c r="D711" i="37"/>
  <c r="E1461" i="37"/>
  <c r="C1471" i="37"/>
  <c r="E1810" i="37"/>
  <c r="D1811" i="37"/>
  <c r="E309" i="37"/>
  <c r="C319" i="37"/>
  <c r="E942" i="37"/>
  <c r="C952" i="37"/>
  <c r="E936" i="37"/>
  <c r="C946" i="37"/>
  <c r="E1472" i="37"/>
  <c r="C1482" i="37"/>
  <c r="E2044" i="37"/>
  <c r="C2054" i="37"/>
  <c r="E328" i="37"/>
  <c r="C338" i="37"/>
  <c r="E313" i="37"/>
  <c r="C323" i="37"/>
  <c r="E321" i="37"/>
  <c r="C331" i="37"/>
  <c r="E1470" i="37"/>
  <c r="C1480" i="37"/>
  <c r="E316" i="37"/>
  <c r="C326" i="37"/>
  <c r="E2005" i="37"/>
  <c r="C2015" i="37"/>
  <c r="E1485" i="37"/>
  <c r="C1495" i="37"/>
  <c r="E1478" i="37"/>
  <c r="C1488" i="37"/>
  <c r="E918" i="37"/>
  <c r="C928" i="37"/>
  <c r="E314" i="37"/>
  <c r="C324" i="37"/>
  <c r="E2022" i="37"/>
  <c r="C2032" i="37"/>
  <c r="E927" i="37"/>
  <c r="C937" i="37"/>
  <c r="E1459" i="37"/>
  <c r="C1469" i="37"/>
  <c r="E1260" i="37"/>
  <c r="D1261" i="37"/>
  <c r="E305" i="37"/>
  <c r="C315" i="37"/>
  <c r="E2009" i="37"/>
  <c r="C2019" i="37"/>
  <c r="E342" i="37"/>
  <c r="C352" i="37"/>
  <c r="E320" i="37"/>
  <c r="C330" i="37"/>
  <c r="E1487" i="37"/>
  <c r="C1497" i="37"/>
  <c r="E317" i="37"/>
  <c r="C327" i="37"/>
  <c r="E903" i="37"/>
  <c r="C913" i="37"/>
  <c r="E949" i="37"/>
  <c r="C959" i="37"/>
  <c r="E945" i="37"/>
  <c r="C955" i="37"/>
  <c r="E1454" i="37"/>
  <c r="C1464" i="37"/>
  <c r="E662" i="37"/>
  <c r="D663" i="37"/>
  <c r="E2018" i="37"/>
  <c r="C2028" i="37"/>
  <c r="E111" i="37"/>
  <c r="D112" i="37"/>
  <c r="E2036" i="37"/>
  <c r="C2046" i="37"/>
  <c r="E2021" i="37"/>
  <c r="C2031" i="37"/>
  <c r="E2030" i="37"/>
  <c r="C2040" i="37"/>
  <c r="E1453" i="37"/>
  <c r="C1463" i="37"/>
  <c r="E2033" i="37"/>
  <c r="C2043" i="37"/>
  <c r="E1486" i="37"/>
  <c r="C1496" i="37"/>
  <c r="E940" i="37" l="1"/>
  <c r="C950" i="37"/>
  <c r="E921" i="37"/>
  <c r="C931" i="37"/>
  <c r="E2037" i="37"/>
  <c r="C2047" i="37"/>
  <c r="E711" i="37"/>
  <c r="D712" i="37"/>
  <c r="E934" i="37"/>
  <c r="C944" i="37"/>
  <c r="E2043" i="37"/>
  <c r="C2053" i="37"/>
  <c r="E2046" i="37"/>
  <c r="C2056" i="37"/>
  <c r="E663" i="37"/>
  <c r="D664" i="37"/>
  <c r="E913" i="37"/>
  <c r="C923" i="37"/>
  <c r="E330" i="37"/>
  <c r="C340" i="37"/>
  <c r="E1261" i="37"/>
  <c r="D1262" i="37"/>
  <c r="E2032" i="37"/>
  <c r="C2042" i="37"/>
  <c r="E1495" i="37"/>
  <c r="C1505" i="37"/>
  <c r="E1480" i="37"/>
  <c r="C1490" i="37"/>
  <c r="E338" i="37"/>
  <c r="C348" i="37"/>
  <c r="E952" i="37"/>
  <c r="C962" i="37"/>
  <c r="E1463" i="37"/>
  <c r="C1473" i="37"/>
  <c r="E1464" i="37"/>
  <c r="C1474" i="37"/>
  <c r="E327" i="37"/>
  <c r="C337" i="37"/>
  <c r="E352" i="37"/>
  <c r="C362" i="37"/>
  <c r="E1469" i="37"/>
  <c r="C1479" i="37"/>
  <c r="E324" i="37"/>
  <c r="C334" i="37"/>
  <c r="E2015" i="37"/>
  <c r="C2025" i="37"/>
  <c r="E331" i="37"/>
  <c r="C341" i="37"/>
  <c r="E2054" i="37"/>
  <c r="C2064" i="37"/>
  <c r="E319" i="37"/>
  <c r="C329" i="37"/>
  <c r="E2040" i="37"/>
  <c r="C2050" i="37"/>
  <c r="E112" i="37"/>
  <c r="D113" i="37"/>
  <c r="E955" i="37"/>
  <c r="C965" i="37"/>
  <c r="E1497" i="37"/>
  <c r="C1507" i="37"/>
  <c r="E2019" i="37"/>
  <c r="C2029" i="37"/>
  <c r="E928" i="37"/>
  <c r="C938" i="37"/>
  <c r="E326" i="37"/>
  <c r="C336" i="37"/>
  <c r="E1482" i="37"/>
  <c r="C1492" i="37"/>
  <c r="E1811" i="37"/>
  <c r="D1812" i="37"/>
  <c r="E1496" i="37"/>
  <c r="C1506" i="37"/>
  <c r="E2031" i="37"/>
  <c r="C2041" i="37"/>
  <c r="E2028" i="37"/>
  <c r="C2038" i="37"/>
  <c r="E959" i="37"/>
  <c r="C969" i="37"/>
  <c r="E315" i="37"/>
  <c r="C325" i="37"/>
  <c r="E937" i="37"/>
  <c r="C947" i="37"/>
  <c r="E1488" i="37"/>
  <c r="C1498" i="37"/>
  <c r="E323" i="37"/>
  <c r="C333" i="37"/>
  <c r="E946" i="37"/>
  <c r="C956" i="37"/>
  <c r="E1471" i="37"/>
  <c r="C1481" i="37"/>
  <c r="E712" i="37" l="1"/>
  <c r="D713" i="37"/>
  <c r="E2047" i="37"/>
  <c r="C2057" i="37"/>
  <c r="E931" i="37"/>
  <c r="C941" i="37"/>
  <c r="E944" i="37"/>
  <c r="C954" i="37"/>
  <c r="E950" i="37"/>
  <c r="C960" i="37"/>
  <c r="E956" i="37"/>
  <c r="C966" i="37"/>
  <c r="E947" i="37"/>
  <c r="C957" i="37"/>
  <c r="E2038" i="37"/>
  <c r="C2048" i="37"/>
  <c r="E1492" i="37"/>
  <c r="C1502" i="37"/>
  <c r="E113" i="37"/>
  <c r="D114" i="37"/>
  <c r="E341" i="37"/>
  <c r="C351" i="37"/>
  <c r="E362" i="37"/>
  <c r="C372" i="37"/>
  <c r="E1473" i="37"/>
  <c r="C1483" i="37"/>
  <c r="E1505" i="37"/>
  <c r="C1515" i="37"/>
  <c r="E923" i="37"/>
  <c r="C933" i="37"/>
  <c r="E333" i="37"/>
  <c r="C343" i="37"/>
  <c r="E325" i="37"/>
  <c r="C335" i="37"/>
  <c r="E2041" i="37"/>
  <c r="C2051" i="37"/>
  <c r="E2029" i="37"/>
  <c r="C2039" i="37"/>
  <c r="E2050" i="37"/>
  <c r="C2060" i="37"/>
  <c r="E2025" i="37"/>
  <c r="C2035" i="37"/>
  <c r="E337" i="37"/>
  <c r="C347" i="37"/>
  <c r="E962" i="37"/>
  <c r="C972" i="37"/>
  <c r="E2042" i="37"/>
  <c r="C2052" i="37"/>
  <c r="E664" i="37"/>
  <c r="D665" i="37"/>
  <c r="E1506" i="37"/>
  <c r="C1516" i="37"/>
  <c r="E336" i="37"/>
  <c r="C346" i="37"/>
  <c r="E1507" i="37"/>
  <c r="C1517" i="37"/>
  <c r="E329" i="37"/>
  <c r="C339" i="37"/>
  <c r="E334" i="37"/>
  <c r="C344" i="37"/>
  <c r="E1474" i="37"/>
  <c r="C1484" i="37"/>
  <c r="E348" i="37"/>
  <c r="C358" i="37"/>
  <c r="E1262" i="37"/>
  <c r="D1263" i="37"/>
  <c r="E2056" i="37"/>
  <c r="C2066" i="37"/>
  <c r="E1481" i="37"/>
  <c r="C1491" i="37"/>
  <c r="E1498" i="37"/>
  <c r="C1508" i="37"/>
  <c r="E969" i="37"/>
  <c r="C979" i="37"/>
  <c r="E1812" i="37"/>
  <c r="D1813" i="37"/>
  <c r="E938" i="37"/>
  <c r="C948" i="37"/>
  <c r="E965" i="37"/>
  <c r="C975" i="37"/>
  <c r="E2064" i="37"/>
  <c r="C2074" i="37"/>
  <c r="E1479" i="37"/>
  <c r="C1489" i="37"/>
  <c r="E1490" i="37"/>
  <c r="C1500" i="37"/>
  <c r="E340" i="37"/>
  <c r="C350" i="37"/>
  <c r="E2053" i="37"/>
  <c r="C2063" i="37"/>
  <c r="E954" i="37" l="1"/>
  <c r="C964" i="37"/>
  <c r="E941" i="37"/>
  <c r="C951" i="37"/>
  <c r="E2057" i="37"/>
  <c r="C2067" i="37"/>
  <c r="E960" i="37"/>
  <c r="C970" i="37"/>
  <c r="E713" i="37"/>
  <c r="D714" i="37"/>
  <c r="E1500" i="37"/>
  <c r="C1510" i="37"/>
  <c r="E358" i="37"/>
  <c r="C368" i="37"/>
  <c r="E2063" i="37"/>
  <c r="C2073" i="37"/>
  <c r="E1489" i="37"/>
  <c r="C1499" i="37"/>
  <c r="E1813" i="37"/>
  <c r="D1814" i="37"/>
  <c r="E2066" i="37"/>
  <c r="C2076" i="37"/>
  <c r="E344" i="37"/>
  <c r="C354" i="37"/>
  <c r="E1516" i="37"/>
  <c r="C1526" i="37"/>
  <c r="E2052" i="37"/>
  <c r="C2062" i="37"/>
  <c r="E2060" i="37"/>
  <c r="C2070" i="37"/>
  <c r="E335" i="37"/>
  <c r="C345" i="37"/>
  <c r="E1483" i="37"/>
  <c r="C1493" i="37"/>
  <c r="E966" i="37"/>
  <c r="C976" i="37"/>
  <c r="E350" i="37"/>
  <c r="C360" i="37"/>
  <c r="E2074" i="37"/>
  <c r="C2084" i="37"/>
  <c r="E979" i="37"/>
  <c r="C989" i="37"/>
  <c r="E1263" i="37"/>
  <c r="D1264" i="37"/>
  <c r="E339" i="37"/>
  <c r="C349" i="37"/>
  <c r="E972" i="37"/>
  <c r="C982" i="37"/>
  <c r="E2039" i="37"/>
  <c r="C2049" i="37"/>
  <c r="E343" i="37"/>
  <c r="C353" i="37"/>
  <c r="E372" i="37"/>
  <c r="C382" i="37"/>
  <c r="E1502" i="37"/>
  <c r="C1512" i="37"/>
  <c r="E975" i="37"/>
  <c r="C985" i="37"/>
  <c r="E1508" i="37"/>
  <c r="C1518" i="37"/>
  <c r="E1517" i="37"/>
  <c r="C1527" i="37"/>
  <c r="E347" i="37"/>
  <c r="C357" i="37"/>
  <c r="E933" i="37"/>
  <c r="C943" i="37"/>
  <c r="E351" i="37"/>
  <c r="C361" i="37"/>
  <c r="E2048" i="37"/>
  <c r="C2058" i="37"/>
  <c r="E948" i="37"/>
  <c r="C958" i="37"/>
  <c r="E1491" i="37"/>
  <c r="C1501" i="37"/>
  <c r="E1484" i="37"/>
  <c r="C1494" i="37"/>
  <c r="E346" i="37"/>
  <c r="C356" i="37"/>
  <c r="E665" i="37"/>
  <c r="D666" i="37"/>
  <c r="E2035" i="37"/>
  <c r="C2045" i="37"/>
  <c r="E2051" i="37"/>
  <c r="C2061" i="37"/>
  <c r="E1515" i="37"/>
  <c r="C1525" i="37"/>
  <c r="E114" i="37"/>
  <c r="D115" i="37"/>
  <c r="E957" i="37"/>
  <c r="C967" i="37"/>
  <c r="E970" i="37" l="1"/>
  <c r="C980" i="37"/>
  <c r="E2067" i="37"/>
  <c r="C2077" i="37"/>
  <c r="E951" i="37"/>
  <c r="C961" i="37"/>
  <c r="E714" i="37"/>
  <c r="D715" i="37"/>
  <c r="C974" i="37"/>
  <c r="E964" i="37"/>
  <c r="E115" i="37"/>
  <c r="D116" i="37"/>
  <c r="E666" i="37"/>
  <c r="D667" i="37"/>
  <c r="E958" i="37"/>
  <c r="C968" i="37"/>
  <c r="E943" i="37"/>
  <c r="C953" i="37"/>
  <c r="E1518" i="37"/>
  <c r="C1528" i="37"/>
  <c r="E353" i="37"/>
  <c r="C363" i="37"/>
  <c r="E349" i="37"/>
  <c r="C359" i="37"/>
  <c r="E360" i="37"/>
  <c r="C370" i="37"/>
  <c r="E345" i="37"/>
  <c r="C355" i="37"/>
  <c r="E354" i="37"/>
  <c r="C364" i="37"/>
  <c r="E2073" i="37"/>
  <c r="C2083" i="37"/>
  <c r="E1525" i="37"/>
  <c r="C1535" i="37"/>
  <c r="E356" i="37"/>
  <c r="C366" i="37"/>
  <c r="E357" i="37"/>
  <c r="C367" i="37"/>
  <c r="E985" i="37"/>
  <c r="C995" i="37"/>
  <c r="E2049" i="37"/>
  <c r="C2059" i="37"/>
  <c r="E1264" i="37"/>
  <c r="D1265" i="37"/>
  <c r="E976" i="37"/>
  <c r="C986" i="37"/>
  <c r="E2070" i="37"/>
  <c r="C2080" i="37"/>
  <c r="E2076" i="37"/>
  <c r="C2086" i="37"/>
  <c r="E2061" i="37"/>
  <c r="C2071" i="37"/>
  <c r="E1494" i="37"/>
  <c r="C1504" i="37"/>
  <c r="E2058" i="37"/>
  <c r="C2068" i="37"/>
  <c r="E1512" i="37"/>
  <c r="C1522" i="37"/>
  <c r="E982" i="37"/>
  <c r="C992" i="37"/>
  <c r="E989" i="37"/>
  <c r="C999" i="37"/>
  <c r="E2062" i="37"/>
  <c r="C2072" i="37"/>
  <c r="E1814" i="37"/>
  <c r="D1815" i="37"/>
  <c r="E368" i="37"/>
  <c r="C378" i="37"/>
  <c r="E967" i="37"/>
  <c r="C977" i="37"/>
  <c r="E2045" i="37"/>
  <c r="C2055" i="37"/>
  <c r="E1501" i="37"/>
  <c r="C1511" i="37"/>
  <c r="E361" i="37"/>
  <c r="C371" i="37"/>
  <c r="E1527" i="37"/>
  <c r="C1537" i="37"/>
  <c r="E382" i="37"/>
  <c r="C392" i="37"/>
  <c r="E2084" i="37"/>
  <c r="C2094" i="37"/>
  <c r="E1493" i="37"/>
  <c r="C1503" i="37"/>
  <c r="E1526" i="37"/>
  <c r="C1536" i="37"/>
  <c r="E1499" i="37"/>
  <c r="C1509" i="37"/>
  <c r="E1510" i="37"/>
  <c r="C1520" i="37"/>
  <c r="E715" i="37" l="1"/>
  <c r="D716" i="37"/>
  <c r="E961" i="37"/>
  <c r="C971" i="37"/>
  <c r="E2077" i="37"/>
  <c r="C2087" i="37"/>
  <c r="E980" i="37"/>
  <c r="C990" i="37"/>
  <c r="E974" i="37"/>
  <c r="C984" i="37"/>
  <c r="E1511" i="37"/>
  <c r="C1521" i="37"/>
  <c r="E953" i="37"/>
  <c r="C963" i="37"/>
  <c r="E995" i="37"/>
  <c r="C1005" i="37"/>
  <c r="E1536" i="37"/>
  <c r="C1546" i="37"/>
  <c r="E392" i="37"/>
  <c r="C402" i="37"/>
  <c r="E2055" i="37"/>
  <c r="C2065" i="37"/>
  <c r="E2072" i="37"/>
  <c r="C2082" i="37"/>
  <c r="E1522" i="37"/>
  <c r="C1532" i="37"/>
  <c r="E2071" i="37"/>
  <c r="C2081" i="37"/>
  <c r="E986" i="37"/>
  <c r="C996" i="37"/>
  <c r="E367" i="37"/>
  <c r="C377" i="37"/>
  <c r="E2083" i="37"/>
  <c r="C2093" i="37"/>
  <c r="E359" i="37"/>
  <c r="C369" i="37"/>
  <c r="E968" i="37"/>
  <c r="C978" i="37"/>
  <c r="E2080" i="37"/>
  <c r="C2090" i="37"/>
  <c r="E1509" i="37"/>
  <c r="C1519" i="37"/>
  <c r="E1504" i="37"/>
  <c r="C1514" i="37"/>
  <c r="E1535" i="37"/>
  <c r="C1545" i="37"/>
  <c r="E1503" i="37"/>
  <c r="C1513" i="37"/>
  <c r="E1537" i="37"/>
  <c r="C1547" i="37"/>
  <c r="E977" i="37"/>
  <c r="C987" i="37"/>
  <c r="E1265" i="37"/>
  <c r="D1266" i="37"/>
  <c r="E364" i="37"/>
  <c r="C374" i="37"/>
  <c r="E363" i="37"/>
  <c r="C373" i="37"/>
  <c r="E667" i="37"/>
  <c r="D668" i="37"/>
  <c r="E1815" i="37"/>
  <c r="D1816" i="37"/>
  <c r="E992" i="37"/>
  <c r="C1002" i="37"/>
  <c r="E370" i="37"/>
  <c r="C380" i="37"/>
  <c r="E1520" i="37"/>
  <c r="C1530" i="37"/>
  <c r="E2094" i="37"/>
  <c r="C2104" i="37"/>
  <c r="E371" i="37"/>
  <c r="C381" i="37"/>
  <c r="E378" i="37"/>
  <c r="C388" i="37"/>
  <c r="E999" i="37"/>
  <c r="C1009" i="37"/>
  <c r="E2068" i="37"/>
  <c r="C2078" i="37"/>
  <c r="E2086" i="37"/>
  <c r="C2096" i="37"/>
  <c r="E2059" i="37"/>
  <c r="C2069" i="37"/>
  <c r="E366" i="37"/>
  <c r="C376" i="37"/>
  <c r="E355" i="37"/>
  <c r="C365" i="37"/>
  <c r="E1528" i="37"/>
  <c r="C1538" i="37"/>
  <c r="E116" i="37"/>
  <c r="D117" i="37"/>
  <c r="E990" i="37" l="1"/>
  <c r="C1000" i="37"/>
  <c r="E2087" i="37"/>
  <c r="C2097" i="37"/>
  <c r="E971" i="37"/>
  <c r="C981" i="37"/>
  <c r="E984" i="37"/>
  <c r="C994" i="37"/>
  <c r="E716" i="37"/>
  <c r="D717" i="37"/>
  <c r="E1538" i="37"/>
  <c r="C1548" i="37"/>
  <c r="E2090" i="37"/>
  <c r="C2100" i="37"/>
  <c r="E1002" i="37"/>
  <c r="C1012" i="37"/>
  <c r="E377" i="37"/>
  <c r="C387" i="37"/>
  <c r="E365" i="37"/>
  <c r="C375" i="37"/>
  <c r="E2078" i="37"/>
  <c r="C2088" i="37"/>
  <c r="E2104" i="37"/>
  <c r="C2114" i="37"/>
  <c r="E1816" i="37"/>
  <c r="D1817" i="37"/>
  <c r="E1545" i="37"/>
  <c r="C1555" i="37"/>
  <c r="E978" i="37"/>
  <c r="C988" i="37"/>
  <c r="E996" i="37"/>
  <c r="C1006" i="37"/>
  <c r="E2065" i="37"/>
  <c r="C2075" i="37"/>
  <c r="E381" i="37"/>
  <c r="C391" i="37"/>
  <c r="E2096" i="37"/>
  <c r="C2106" i="37"/>
  <c r="E1513" i="37"/>
  <c r="C1523" i="37"/>
  <c r="E376" i="37"/>
  <c r="C386" i="37"/>
  <c r="E1009" i="37"/>
  <c r="C1019" i="37"/>
  <c r="E1530" i="37"/>
  <c r="C1540" i="37"/>
  <c r="E668" i="37"/>
  <c r="D669" i="37"/>
  <c r="E1266" i="37"/>
  <c r="D1267" i="37"/>
  <c r="E987" i="37"/>
  <c r="C997" i="37"/>
  <c r="E1514" i="37"/>
  <c r="C1524" i="37"/>
  <c r="E369" i="37"/>
  <c r="C379" i="37"/>
  <c r="E2081" i="37"/>
  <c r="C2091" i="37"/>
  <c r="E402" i="37"/>
  <c r="C412" i="37"/>
  <c r="E963" i="37"/>
  <c r="C973" i="37"/>
  <c r="E1005" i="37"/>
  <c r="C1015" i="37"/>
  <c r="E374" i="37"/>
  <c r="C384" i="37"/>
  <c r="E2082" i="37"/>
  <c r="C2092" i="37"/>
  <c r="E117" i="37"/>
  <c r="D118" i="37"/>
  <c r="E2069" i="37"/>
  <c r="C2079" i="37"/>
  <c r="E388" i="37"/>
  <c r="C398" i="37"/>
  <c r="E380" i="37"/>
  <c r="C390" i="37"/>
  <c r="E373" i="37"/>
  <c r="C383" i="37"/>
  <c r="E1547" i="37"/>
  <c r="C1557" i="37"/>
  <c r="E1519" i="37"/>
  <c r="C1529" i="37"/>
  <c r="E2093" i="37"/>
  <c r="C2103" i="37"/>
  <c r="E1532" i="37"/>
  <c r="C1542" i="37"/>
  <c r="E1546" i="37"/>
  <c r="C1556" i="37"/>
  <c r="E1521" i="37"/>
  <c r="C1531" i="37"/>
  <c r="E994" i="37" l="1"/>
  <c r="C1004" i="37"/>
  <c r="E981" i="37"/>
  <c r="C991" i="37"/>
  <c r="E2097" i="37"/>
  <c r="C2107" i="37"/>
  <c r="E717" i="37"/>
  <c r="D718" i="37"/>
  <c r="E1000" i="37"/>
  <c r="C1010" i="37"/>
  <c r="E1556" i="37"/>
  <c r="C1566" i="37"/>
  <c r="E1557" i="37"/>
  <c r="C1567" i="37"/>
  <c r="E398" i="37"/>
  <c r="C408" i="37"/>
  <c r="E384" i="37"/>
  <c r="C394" i="37"/>
  <c r="E2091" i="37"/>
  <c r="C2101" i="37"/>
  <c r="E1267" i="37"/>
  <c r="D1268" i="37"/>
  <c r="E386" i="37"/>
  <c r="C396" i="37"/>
  <c r="E1555" i="37"/>
  <c r="C1565" i="37"/>
  <c r="E2114" i="37"/>
  <c r="C2124" i="37"/>
  <c r="E1012" i="37"/>
  <c r="C1022" i="37"/>
  <c r="E1542" i="37"/>
  <c r="C1552" i="37"/>
  <c r="E2079" i="37"/>
  <c r="C2089" i="37"/>
  <c r="E1015" i="37"/>
  <c r="C1025" i="37"/>
  <c r="E379" i="37"/>
  <c r="C389" i="37"/>
  <c r="E669" i="37"/>
  <c r="D670" i="37"/>
  <c r="E1523" i="37"/>
  <c r="C1533" i="37"/>
  <c r="E2075" i="37"/>
  <c r="C2085" i="37"/>
  <c r="E2088" i="37"/>
  <c r="C2098" i="37"/>
  <c r="E2100" i="37"/>
  <c r="C2110" i="37"/>
  <c r="E2103" i="37"/>
  <c r="C2113" i="37"/>
  <c r="E383" i="37"/>
  <c r="C393" i="37"/>
  <c r="E118" i="37"/>
  <c r="D119" i="37"/>
  <c r="E973" i="37"/>
  <c r="C983" i="37"/>
  <c r="E1524" i="37"/>
  <c r="C1534" i="37"/>
  <c r="E1540" i="37"/>
  <c r="C1550" i="37"/>
  <c r="E2106" i="37"/>
  <c r="C2116" i="37"/>
  <c r="E1006" i="37"/>
  <c r="C1016" i="37"/>
  <c r="E375" i="37"/>
  <c r="C385" i="37"/>
  <c r="E1531" i="37"/>
  <c r="C1541" i="37"/>
  <c r="E1529" i="37"/>
  <c r="C1539" i="37"/>
  <c r="E390" i="37"/>
  <c r="C400" i="37"/>
  <c r="E2092" i="37"/>
  <c r="C2102" i="37"/>
  <c r="E412" i="37"/>
  <c r="C422" i="37"/>
  <c r="E997" i="37"/>
  <c r="C1007" i="37"/>
  <c r="E1019" i="37"/>
  <c r="C1029" i="37"/>
  <c r="E391" i="37"/>
  <c r="C401" i="37"/>
  <c r="E988" i="37"/>
  <c r="C998" i="37"/>
  <c r="E1817" i="37"/>
  <c r="D1818" i="37"/>
  <c r="E387" i="37"/>
  <c r="C397" i="37"/>
  <c r="E1548" i="37"/>
  <c r="C1558" i="37"/>
  <c r="E718" i="37" l="1"/>
  <c r="D719" i="37"/>
  <c r="E2107" i="37"/>
  <c r="C2117" i="37"/>
  <c r="E991" i="37"/>
  <c r="C1001" i="37"/>
  <c r="E1010" i="37"/>
  <c r="C1020" i="37"/>
  <c r="E1004" i="37"/>
  <c r="C1014" i="37"/>
  <c r="E393" i="37"/>
  <c r="C403" i="37"/>
  <c r="E389" i="37"/>
  <c r="C399" i="37"/>
  <c r="E1552" i="37"/>
  <c r="C1562" i="37"/>
  <c r="E394" i="37"/>
  <c r="C404" i="37"/>
  <c r="E1029" i="37"/>
  <c r="C1039" i="37"/>
  <c r="E385" i="37"/>
  <c r="C395" i="37"/>
  <c r="E1818" i="37"/>
  <c r="D1819" i="37"/>
  <c r="E1007" i="37"/>
  <c r="C1017" i="37"/>
  <c r="E1539" i="37"/>
  <c r="C1549" i="37"/>
  <c r="E1534" i="37"/>
  <c r="C1544" i="37"/>
  <c r="E2113" i="37"/>
  <c r="C2123" i="37"/>
  <c r="E2085" i="37"/>
  <c r="C2095" i="37"/>
  <c r="E1025" i="37"/>
  <c r="C1035" i="37"/>
  <c r="E1022" i="37"/>
  <c r="C1032" i="37"/>
  <c r="E396" i="37"/>
  <c r="C406" i="37"/>
  <c r="E408" i="37"/>
  <c r="C418" i="37"/>
  <c r="E998" i="37"/>
  <c r="C1008" i="37"/>
  <c r="E422" i="37"/>
  <c r="C432" i="37"/>
  <c r="E1541" i="37"/>
  <c r="C1551" i="37"/>
  <c r="E1016" i="37"/>
  <c r="C1026" i="37"/>
  <c r="E983" i="37"/>
  <c r="C993" i="37"/>
  <c r="E2110" i="37"/>
  <c r="C2120" i="37"/>
  <c r="E1533" i="37"/>
  <c r="C1543" i="37"/>
  <c r="E2089" i="37"/>
  <c r="C2099" i="37"/>
  <c r="E2124" i="37"/>
  <c r="C2134" i="37"/>
  <c r="E1268" i="37"/>
  <c r="D1269" i="37"/>
  <c r="E1567" i="37"/>
  <c r="C1577" i="37"/>
  <c r="E397" i="37"/>
  <c r="C407" i="37"/>
  <c r="E400" i="37"/>
  <c r="C410" i="37"/>
  <c r="E1550" i="37"/>
  <c r="C1560" i="37"/>
  <c r="E1558" i="37"/>
  <c r="C1568" i="37"/>
  <c r="E401" i="37"/>
  <c r="C411" i="37"/>
  <c r="E2102" i="37"/>
  <c r="C2112" i="37"/>
  <c r="E2116" i="37"/>
  <c r="C2126" i="37"/>
  <c r="E119" i="37"/>
  <c r="D120" i="37"/>
  <c r="E2098" i="37"/>
  <c r="C2108" i="37"/>
  <c r="E670" i="37"/>
  <c r="D671" i="37"/>
  <c r="E1565" i="37"/>
  <c r="C1575" i="37"/>
  <c r="E2101" i="37"/>
  <c r="C2111" i="37"/>
  <c r="E1566" i="37"/>
  <c r="C1576" i="37"/>
  <c r="E1020" i="37" l="1"/>
  <c r="C1030" i="37"/>
  <c r="E1001" i="37"/>
  <c r="C1011" i="37"/>
  <c r="E2117" i="37"/>
  <c r="C2127" i="37"/>
  <c r="E1014" i="37"/>
  <c r="C1024" i="37"/>
  <c r="E719" i="37"/>
  <c r="D720" i="37"/>
  <c r="E2111" i="37"/>
  <c r="C2121" i="37"/>
  <c r="E2108" i="37"/>
  <c r="C2118" i="37"/>
  <c r="E2112" i="37"/>
  <c r="C2122" i="37"/>
  <c r="E410" i="37"/>
  <c r="C420" i="37"/>
  <c r="E2134" i="37"/>
  <c r="C2144" i="37"/>
  <c r="E993" i="37"/>
  <c r="C1003" i="37"/>
  <c r="E1008" i="37"/>
  <c r="C1018" i="37"/>
  <c r="E1035" i="37"/>
  <c r="C1045" i="37"/>
  <c r="E395" i="37"/>
  <c r="C405" i="37"/>
  <c r="E1562" i="37"/>
  <c r="C1572" i="37"/>
  <c r="E1575" i="37"/>
  <c r="C1585" i="37"/>
  <c r="E120" i="37"/>
  <c r="D121" i="37"/>
  <c r="E411" i="37"/>
  <c r="C421" i="37"/>
  <c r="E407" i="37"/>
  <c r="C417" i="37"/>
  <c r="E2099" i="37"/>
  <c r="C2109" i="37"/>
  <c r="E1026" i="37"/>
  <c r="C1036" i="37"/>
  <c r="E418" i="37"/>
  <c r="C428" i="37"/>
  <c r="E2095" i="37"/>
  <c r="C2105" i="37"/>
  <c r="E1549" i="37"/>
  <c r="C1559" i="37"/>
  <c r="E1039" i="37"/>
  <c r="C1049" i="37"/>
  <c r="E399" i="37"/>
  <c r="C409" i="37"/>
  <c r="E2126" i="37"/>
  <c r="C2136" i="37"/>
  <c r="E1568" i="37"/>
  <c r="C1578" i="37"/>
  <c r="E1577" i="37"/>
  <c r="C1587" i="37"/>
  <c r="E1543" i="37"/>
  <c r="C1553" i="37"/>
  <c r="E1551" i="37"/>
  <c r="C1561" i="37"/>
  <c r="E406" i="37"/>
  <c r="C416" i="37"/>
  <c r="E2123" i="37"/>
  <c r="C2133" i="37"/>
  <c r="E1017" i="37"/>
  <c r="C1027" i="37"/>
  <c r="E404" i="37"/>
  <c r="C414" i="37"/>
  <c r="E1576" i="37"/>
  <c r="C1586" i="37"/>
  <c r="E671" i="37"/>
  <c r="D672" i="37"/>
  <c r="E1560" i="37"/>
  <c r="C1570" i="37"/>
  <c r="E1269" i="37"/>
  <c r="D1270" i="37"/>
  <c r="E2120" i="37"/>
  <c r="C2130" i="37"/>
  <c r="E432" i="37"/>
  <c r="C442" i="37"/>
  <c r="E1032" i="37"/>
  <c r="C1042" i="37"/>
  <c r="E1544" i="37"/>
  <c r="C1554" i="37"/>
  <c r="E1819" i="37"/>
  <c r="D1820" i="37"/>
  <c r="E403" i="37"/>
  <c r="C413" i="37"/>
  <c r="E1024" i="37" l="1"/>
  <c r="C1034" i="37"/>
  <c r="E2127" i="37"/>
  <c r="C2137" i="37"/>
  <c r="E1011" i="37"/>
  <c r="C1021" i="37"/>
  <c r="E720" i="37"/>
  <c r="D721" i="37"/>
  <c r="E1030" i="37"/>
  <c r="C1040" i="37"/>
  <c r="E442" i="37"/>
  <c r="C452" i="37"/>
  <c r="E414" i="37"/>
  <c r="C424" i="37"/>
  <c r="E1561" i="37"/>
  <c r="C1571" i="37"/>
  <c r="E2136" i="37"/>
  <c r="C2146" i="37"/>
  <c r="E1559" i="37"/>
  <c r="C1569" i="37"/>
  <c r="E2109" i="37"/>
  <c r="C2119" i="37"/>
  <c r="E1585" i="37"/>
  <c r="C1595" i="37"/>
  <c r="E1045" i="37"/>
  <c r="C1055" i="37"/>
  <c r="E420" i="37"/>
  <c r="C430" i="37"/>
  <c r="E1820" i="37"/>
  <c r="D1821" i="37"/>
  <c r="E2130" i="37"/>
  <c r="C2140" i="37"/>
  <c r="E672" i="37"/>
  <c r="D673" i="37"/>
  <c r="E1027" i="37"/>
  <c r="C1037" i="37"/>
  <c r="E1553" i="37"/>
  <c r="C1563" i="37"/>
  <c r="E2105" i="37"/>
  <c r="C2115" i="37"/>
  <c r="E417" i="37"/>
  <c r="C427" i="37"/>
  <c r="E1572" i="37"/>
  <c r="C1582" i="37"/>
  <c r="E1018" i="37"/>
  <c r="C1028" i="37"/>
  <c r="E2122" i="37"/>
  <c r="C2132" i="37"/>
  <c r="E1554" i="37"/>
  <c r="C1564" i="37"/>
  <c r="E1270" i="37"/>
  <c r="D1271" i="37"/>
  <c r="E1586" i="37"/>
  <c r="C1596" i="37"/>
  <c r="E2133" i="37"/>
  <c r="C2143" i="37"/>
  <c r="E1587" i="37"/>
  <c r="C1597" i="37"/>
  <c r="E409" i="37"/>
  <c r="C419" i="37"/>
  <c r="E428" i="37"/>
  <c r="C438" i="37"/>
  <c r="E421" i="37"/>
  <c r="C431" i="37"/>
  <c r="E405" i="37"/>
  <c r="C415" i="37"/>
  <c r="E1003" i="37"/>
  <c r="C1013" i="37"/>
  <c r="E2118" i="37"/>
  <c r="C2128" i="37"/>
  <c r="E413" i="37"/>
  <c r="C423" i="37"/>
  <c r="E1042" i="37"/>
  <c r="C1052" i="37"/>
  <c r="E1570" i="37"/>
  <c r="C1580" i="37"/>
  <c r="E416" i="37"/>
  <c r="C426" i="37"/>
  <c r="E1578" i="37"/>
  <c r="C1588" i="37"/>
  <c r="E1049" i="37"/>
  <c r="C1059" i="37"/>
  <c r="E1036" i="37"/>
  <c r="C1046" i="37"/>
  <c r="E121" i="37"/>
  <c r="D122" i="37"/>
  <c r="E2144" i="37"/>
  <c r="C2154" i="37"/>
  <c r="E2121" i="37"/>
  <c r="C2131" i="37"/>
  <c r="E721" i="37" l="1"/>
  <c r="D722" i="37"/>
  <c r="E1021" i="37"/>
  <c r="C1031" i="37"/>
  <c r="E2137" i="37"/>
  <c r="C2147" i="37"/>
  <c r="E1040" i="37"/>
  <c r="C1050" i="37"/>
  <c r="C1044" i="37"/>
  <c r="E1034" i="37"/>
  <c r="E2154" i="37"/>
  <c r="C2164" i="37"/>
  <c r="E1059" i="37"/>
  <c r="C1069" i="37"/>
  <c r="E1580" i="37"/>
  <c r="C1590" i="37"/>
  <c r="E1013" i="37"/>
  <c r="C1023" i="37"/>
  <c r="E419" i="37"/>
  <c r="C429" i="37"/>
  <c r="E1271" i="37"/>
  <c r="D1272" i="37"/>
  <c r="E1582" i="37"/>
  <c r="C1592" i="37"/>
  <c r="E1563" i="37"/>
  <c r="C1573" i="37"/>
  <c r="E1821" i="37"/>
  <c r="D1822" i="37"/>
  <c r="E2119" i="37"/>
  <c r="C2129" i="37"/>
  <c r="E424" i="37"/>
  <c r="C434" i="37"/>
  <c r="E1588" i="37"/>
  <c r="C1598" i="37"/>
  <c r="E1052" i="37"/>
  <c r="C1062" i="37"/>
  <c r="E415" i="37"/>
  <c r="C425" i="37"/>
  <c r="E1597" i="37"/>
  <c r="C1607" i="37"/>
  <c r="E1564" i="37"/>
  <c r="C1574" i="37"/>
  <c r="E427" i="37"/>
  <c r="C437" i="37"/>
  <c r="E1037" i="37"/>
  <c r="C1047" i="37"/>
  <c r="E430" i="37"/>
  <c r="C440" i="37"/>
  <c r="E1569" i="37"/>
  <c r="C1579" i="37"/>
  <c r="E122" i="37"/>
  <c r="D123" i="37"/>
  <c r="E426" i="37"/>
  <c r="C436" i="37"/>
  <c r="E423" i="37"/>
  <c r="C433" i="37"/>
  <c r="E431" i="37"/>
  <c r="C441" i="37"/>
  <c r="E2143" i="37"/>
  <c r="C2153" i="37"/>
  <c r="E2132" i="37"/>
  <c r="C2142" i="37"/>
  <c r="E2115" i="37"/>
  <c r="C2125" i="37"/>
  <c r="E673" i="37"/>
  <c r="D674" i="37"/>
  <c r="E1055" i="37"/>
  <c r="C1065" i="37"/>
  <c r="E2146" i="37"/>
  <c r="C2156" i="37"/>
  <c r="E452" i="37"/>
  <c r="C462" i="37"/>
  <c r="E2131" i="37"/>
  <c r="C2141" i="37"/>
  <c r="E1046" i="37"/>
  <c r="C1056" i="37"/>
  <c r="E2128" i="37"/>
  <c r="C2138" i="37"/>
  <c r="E438" i="37"/>
  <c r="C448" i="37"/>
  <c r="E1596" i="37"/>
  <c r="C1606" i="37"/>
  <c r="E1028" i="37"/>
  <c r="C1038" i="37"/>
  <c r="E2140" i="37"/>
  <c r="C2150" i="37"/>
  <c r="E1595" i="37"/>
  <c r="C1605" i="37"/>
  <c r="E1571" i="37"/>
  <c r="C1581" i="37"/>
  <c r="E1050" i="37" l="1"/>
  <c r="C1060" i="37"/>
  <c r="E2147" i="37"/>
  <c r="C2157" i="37"/>
  <c r="C1041" i="37"/>
  <c r="E1031" i="37"/>
  <c r="E722" i="37"/>
  <c r="D723" i="37"/>
  <c r="E1044" i="37"/>
  <c r="C1054" i="37"/>
  <c r="E1581" i="37"/>
  <c r="C1591" i="37"/>
  <c r="E1038" i="37"/>
  <c r="C1048" i="37"/>
  <c r="E2156" i="37"/>
  <c r="C2166" i="37"/>
  <c r="E2142" i="37"/>
  <c r="C2152" i="37"/>
  <c r="E436" i="37"/>
  <c r="C446" i="37"/>
  <c r="E440" i="37"/>
  <c r="C450" i="37"/>
  <c r="E1607" i="37"/>
  <c r="C1617" i="37"/>
  <c r="E1573" i="37"/>
  <c r="C1583" i="37"/>
  <c r="E1023" i="37"/>
  <c r="C1033" i="37"/>
  <c r="E1605" i="37"/>
  <c r="C1615" i="37"/>
  <c r="E1606" i="37"/>
  <c r="C1616" i="37"/>
  <c r="E1056" i="37"/>
  <c r="C1066" i="37"/>
  <c r="E1065" i="37"/>
  <c r="C1075" i="37"/>
  <c r="E2153" i="37"/>
  <c r="C2163" i="37"/>
  <c r="E123" i="37"/>
  <c r="D124" i="37"/>
  <c r="E1047" i="37"/>
  <c r="C1057" i="37"/>
  <c r="E425" i="37"/>
  <c r="C435" i="37"/>
  <c r="E434" i="37"/>
  <c r="C444" i="37"/>
  <c r="E1592" i="37"/>
  <c r="C1602" i="37"/>
  <c r="E1590" i="37"/>
  <c r="C1600" i="37"/>
  <c r="E2150" i="37"/>
  <c r="C2160" i="37"/>
  <c r="E448" i="37"/>
  <c r="C458" i="37"/>
  <c r="E2141" i="37"/>
  <c r="C2151" i="37"/>
  <c r="E674" i="37"/>
  <c r="D675" i="37"/>
  <c r="E441" i="37"/>
  <c r="C451" i="37"/>
  <c r="E437" i="37"/>
  <c r="C447" i="37"/>
  <c r="E1062" i="37"/>
  <c r="C1072" i="37"/>
  <c r="E2129" i="37"/>
  <c r="C2139" i="37"/>
  <c r="E1272" i="37"/>
  <c r="D1273" i="37"/>
  <c r="E1069" i="37"/>
  <c r="C1079" i="37"/>
  <c r="E2138" i="37"/>
  <c r="C2148" i="37"/>
  <c r="E462" i="37"/>
  <c r="C472" i="37"/>
  <c r="E2125" i="37"/>
  <c r="C2135" i="37"/>
  <c r="E433" i="37"/>
  <c r="C443" i="37"/>
  <c r="E1579" i="37"/>
  <c r="C1589" i="37"/>
  <c r="E1574" i="37"/>
  <c r="C1584" i="37"/>
  <c r="E1598" i="37"/>
  <c r="C1608" i="37"/>
  <c r="E1822" i="37"/>
  <c r="D1823" i="37"/>
  <c r="E429" i="37"/>
  <c r="C439" i="37"/>
  <c r="E2164" i="37"/>
  <c r="C2174" i="37"/>
  <c r="E723" i="37" l="1"/>
  <c r="D724" i="37"/>
  <c r="E1041" i="37"/>
  <c r="C1051" i="37"/>
  <c r="E2157" i="37"/>
  <c r="C2167" i="37"/>
  <c r="E1054" i="37"/>
  <c r="C1064" i="37"/>
  <c r="C1070" i="37"/>
  <c r="E1060" i="37"/>
  <c r="E439" i="37"/>
  <c r="C449" i="37"/>
  <c r="E1589" i="37"/>
  <c r="C1599" i="37"/>
  <c r="E2148" i="37"/>
  <c r="C2158" i="37"/>
  <c r="E1273" i="37"/>
  <c r="D1274" i="37"/>
  <c r="E458" i="37"/>
  <c r="C468" i="37"/>
  <c r="E444" i="37"/>
  <c r="C454" i="37"/>
  <c r="E2163" i="37"/>
  <c r="C2173" i="37"/>
  <c r="E1615" i="37"/>
  <c r="C1625" i="37"/>
  <c r="E1617" i="37"/>
  <c r="C1627" i="37"/>
  <c r="E2166" i="37"/>
  <c r="C2176" i="37"/>
  <c r="E1823" i="37"/>
  <c r="D1824" i="37"/>
  <c r="E443" i="37"/>
  <c r="C453" i="37"/>
  <c r="E2139" i="37"/>
  <c r="C2149" i="37"/>
  <c r="E451" i="37"/>
  <c r="C461" i="37"/>
  <c r="E2160" i="37"/>
  <c r="C2170" i="37"/>
  <c r="E435" i="37"/>
  <c r="C445" i="37"/>
  <c r="E1075" i="37"/>
  <c r="C1085" i="37"/>
  <c r="E1033" i="37"/>
  <c r="C1043" i="37"/>
  <c r="E450" i="37"/>
  <c r="C460" i="37"/>
  <c r="E1608" i="37"/>
  <c r="C1618" i="37"/>
  <c r="E2135" i="37"/>
  <c r="C2145" i="37"/>
  <c r="E1072" i="37"/>
  <c r="C1082" i="37"/>
  <c r="E675" i="37"/>
  <c r="D676" i="37"/>
  <c r="E1600" i="37"/>
  <c r="C1610" i="37"/>
  <c r="E1057" i="37"/>
  <c r="C1067" i="37"/>
  <c r="E1066" i="37"/>
  <c r="C1076" i="37"/>
  <c r="E1583" i="37"/>
  <c r="C1593" i="37"/>
  <c r="E446" i="37"/>
  <c r="C456" i="37"/>
  <c r="E1048" i="37"/>
  <c r="C1058" i="37"/>
  <c r="E2174" i="37"/>
  <c r="C2184" i="37"/>
  <c r="E1584" i="37"/>
  <c r="C1594" i="37"/>
  <c r="E472" i="37"/>
  <c r="C482" i="37"/>
  <c r="E1079" i="37"/>
  <c r="C1089" i="37"/>
  <c r="E447" i="37"/>
  <c r="C457" i="37"/>
  <c r="E2151" i="37"/>
  <c r="C2161" i="37"/>
  <c r="E1602" i="37"/>
  <c r="C1612" i="37"/>
  <c r="E124" i="37"/>
  <c r="D125" i="37"/>
  <c r="E1616" i="37"/>
  <c r="C1626" i="37"/>
  <c r="E2152" i="37"/>
  <c r="C2162" i="37"/>
  <c r="E1591" i="37"/>
  <c r="C1601" i="37"/>
  <c r="E1064" i="37" l="1"/>
  <c r="C1074" i="37"/>
  <c r="E2167" i="37"/>
  <c r="C2177" i="37"/>
  <c r="E1051" i="37"/>
  <c r="C1061" i="37"/>
  <c r="E724" i="37"/>
  <c r="D725" i="37"/>
  <c r="E1070" i="37"/>
  <c r="C1080" i="37"/>
  <c r="E125" i="37"/>
  <c r="D126" i="37"/>
  <c r="E1058" i="37"/>
  <c r="C1068" i="37"/>
  <c r="E2170" i="37"/>
  <c r="C2180" i="37"/>
  <c r="E1625" i="37"/>
  <c r="C1635" i="37"/>
  <c r="E449" i="37"/>
  <c r="C459" i="37"/>
  <c r="E2162" i="37"/>
  <c r="C2172" i="37"/>
  <c r="E1612" i="37"/>
  <c r="C1622" i="37"/>
  <c r="E482" i="37"/>
  <c r="C492" i="37"/>
  <c r="E456" i="37"/>
  <c r="C466" i="37"/>
  <c r="E1610" i="37"/>
  <c r="C1620" i="37"/>
  <c r="E2145" i="37"/>
  <c r="C2155" i="37"/>
  <c r="E1043" i="37"/>
  <c r="C1053" i="37"/>
  <c r="E461" i="37"/>
  <c r="C471" i="37"/>
  <c r="E1824" i="37"/>
  <c r="D1825" i="37"/>
  <c r="E2173" i="37"/>
  <c r="C2183" i="37"/>
  <c r="E1274" i="37"/>
  <c r="D1275" i="37"/>
  <c r="E2161" i="37"/>
  <c r="C2171" i="37"/>
  <c r="E1594" i="37"/>
  <c r="C1604" i="37"/>
  <c r="E1593" i="37"/>
  <c r="C1603" i="37"/>
  <c r="E676" i="37"/>
  <c r="D677" i="37"/>
  <c r="E1618" i="37"/>
  <c r="C1628" i="37"/>
  <c r="E1085" i="37"/>
  <c r="C1095" i="37"/>
  <c r="E2149" i="37"/>
  <c r="C2159" i="37"/>
  <c r="E2176" i="37"/>
  <c r="C2186" i="37"/>
  <c r="E454" i="37"/>
  <c r="C464" i="37"/>
  <c r="E2158" i="37"/>
  <c r="C2168" i="37"/>
  <c r="E1626" i="37"/>
  <c r="C1636" i="37"/>
  <c r="E457" i="37"/>
  <c r="C467" i="37"/>
  <c r="E2184" i="37"/>
  <c r="C2194" i="37"/>
  <c r="E1076" i="37"/>
  <c r="C1086" i="37"/>
  <c r="E1082" i="37"/>
  <c r="C1092" i="37"/>
  <c r="E445" i="37"/>
  <c r="C455" i="37"/>
  <c r="E1627" i="37"/>
  <c r="C1637" i="37"/>
  <c r="E468" i="37"/>
  <c r="C478" i="37"/>
  <c r="E1599" i="37"/>
  <c r="C1609" i="37"/>
  <c r="E1601" i="37"/>
  <c r="C1611" i="37"/>
  <c r="E1089" i="37"/>
  <c r="C1099" i="37"/>
  <c r="E1067" i="37"/>
  <c r="C1077" i="37"/>
  <c r="E460" i="37"/>
  <c r="C470" i="37"/>
  <c r="E453" i="37"/>
  <c r="C463" i="37"/>
  <c r="E725" i="37" l="1"/>
  <c r="D726" i="37"/>
  <c r="C1071" i="37"/>
  <c r="E1061" i="37"/>
  <c r="E2177" i="37"/>
  <c r="C2187" i="37"/>
  <c r="E1080" i="37"/>
  <c r="C1090" i="37"/>
  <c r="E1074" i="37"/>
  <c r="C1084" i="37"/>
  <c r="E463" i="37"/>
  <c r="C473" i="37"/>
  <c r="E1611" i="37"/>
  <c r="C1621" i="37"/>
  <c r="E1086" i="37"/>
  <c r="C1096" i="37"/>
  <c r="E2168" i="37"/>
  <c r="C2178" i="37"/>
  <c r="E1095" i="37"/>
  <c r="C1105" i="37"/>
  <c r="E1604" i="37"/>
  <c r="C1614" i="37"/>
  <c r="E2183" i="37"/>
  <c r="C2193" i="37"/>
  <c r="E2155" i="37"/>
  <c r="C2165" i="37"/>
  <c r="E1622" i="37"/>
  <c r="C1632" i="37"/>
  <c r="E2180" i="37"/>
  <c r="C2190" i="37"/>
  <c r="E470" i="37"/>
  <c r="C480" i="37"/>
  <c r="E1609" i="37"/>
  <c r="C1619" i="37"/>
  <c r="E455" i="37"/>
  <c r="C465" i="37"/>
  <c r="E2194" i="37"/>
  <c r="C2204" i="37"/>
  <c r="E464" i="37"/>
  <c r="C474" i="37"/>
  <c r="E1628" i="37"/>
  <c r="C1638" i="37"/>
  <c r="E2171" i="37"/>
  <c r="C2181" i="37"/>
  <c r="E1825" i="37"/>
  <c r="D1826" i="37"/>
  <c r="E1620" i="37"/>
  <c r="C1630" i="37"/>
  <c r="E2172" i="37"/>
  <c r="C2182" i="37"/>
  <c r="E1077" i="37"/>
  <c r="C1087" i="37"/>
  <c r="E478" i="37"/>
  <c r="C488" i="37"/>
  <c r="E467" i="37"/>
  <c r="C477" i="37"/>
  <c r="E2186" i="37"/>
  <c r="C2196" i="37"/>
  <c r="E677" i="37"/>
  <c r="D678" i="37"/>
  <c r="E471" i="37"/>
  <c r="C481" i="37"/>
  <c r="E466" i="37"/>
  <c r="C476" i="37"/>
  <c r="E459" i="37"/>
  <c r="C469" i="37"/>
  <c r="E1068" i="37"/>
  <c r="C1078" i="37"/>
  <c r="E1099" i="37"/>
  <c r="C1109" i="37"/>
  <c r="E1637" i="37"/>
  <c r="C1647" i="37"/>
  <c r="E1092" i="37"/>
  <c r="C1102" i="37"/>
  <c r="E1636" i="37"/>
  <c r="C1646" i="37"/>
  <c r="E2159" i="37"/>
  <c r="C2169" i="37"/>
  <c r="E1603" i="37"/>
  <c r="C1613" i="37"/>
  <c r="E1275" i="37"/>
  <c r="D1276" i="37"/>
  <c r="E1053" i="37"/>
  <c r="C1063" i="37"/>
  <c r="E492" i="37"/>
  <c r="C502" i="37"/>
  <c r="E1635" i="37"/>
  <c r="C1645" i="37"/>
  <c r="E126" i="37"/>
  <c r="D127" i="37"/>
  <c r="E1090" i="37" l="1"/>
  <c r="C1100" i="37"/>
  <c r="E2187" i="37"/>
  <c r="C2197" i="37"/>
  <c r="E1071" i="37"/>
  <c r="C1081" i="37"/>
  <c r="E1084" i="37"/>
  <c r="C1094" i="37"/>
  <c r="E726" i="37"/>
  <c r="D727" i="37"/>
  <c r="E1645" i="37"/>
  <c r="C1655" i="37"/>
  <c r="E1613" i="37"/>
  <c r="C1623" i="37"/>
  <c r="E1647" i="37"/>
  <c r="C1657" i="37"/>
  <c r="E469" i="37"/>
  <c r="C479" i="37"/>
  <c r="E678" i="37"/>
  <c r="D679" i="37"/>
  <c r="E488" i="37"/>
  <c r="C498" i="37"/>
  <c r="E1630" i="37"/>
  <c r="C1640" i="37"/>
  <c r="E474" i="37"/>
  <c r="C484" i="37"/>
  <c r="E480" i="37"/>
  <c r="C490" i="37"/>
  <c r="E2193" i="37"/>
  <c r="C2203" i="37"/>
  <c r="E1096" i="37"/>
  <c r="C1106" i="37"/>
  <c r="E502" i="37"/>
  <c r="C512" i="37"/>
  <c r="E2169" i="37"/>
  <c r="C2179" i="37"/>
  <c r="E1109" i="37"/>
  <c r="C1119" i="37"/>
  <c r="E476" i="37"/>
  <c r="C486" i="37"/>
  <c r="E2196" i="37"/>
  <c r="C2206" i="37"/>
  <c r="E1087" i="37"/>
  <c r="C1097" i="37"/>
  <c r="E1826" i="37"/>
  <c r="D1827" i="37"/>
  <c r="E2204" i="37"/>
  <c r="C2214" i="37"/>
  <c r="E2190" i="37"/>
  <c r="C2200" i="37"/>
  <c r="E1614" i="37"/>
  <c r="C1624" i="37"/>
  <c r="E1063" i="37"/>
  <c r="C1073" i="37"/>
  <c r="E1646" i="37"/>
  <c r="C1656" i="37"/>
  <c r="E481" i="37"/>
  <c r="C491" i="37"/>
  <c r="E477" i="37"/>
  <c r="C487" i="37"/>
  <c r="E2181" i="37"/>
  <c r="C2191" i="37"/>
  <c r="E465" i="37"/>
  <c r="C475" i="37"/>
  <c r="E1632" i="37"/>
  <c r="C1642" i="37"/>
  <c r="E1105" i="37"/>
  <c r="C1115" i="37"/>
  <c r="E1621" i="37"/>
  <c r="C1631" i="37"/>
  <c r="E127" i="37"/>
  <c r="D128" i="37"/>
  <c r="E1276" i="37"/>
  <c r="D1277" i="37"/>
  <c r="E1102" i="37"/>
  <c r="C1112" i="37"/>
  <c r="E1078" i="37"/>
  <c r="C1088" i="37"/>
  <c r="E2182" i="37"/>
  <c r="C2192" i="37"/>
  <c r="E1638" i="37"/>
  <c r="C1648" i="37"/>
  <c r="E1619" i="37"/>
  <c r="C1629" i="37"/>
  <c r="E2165" i="37"/>
  <c r="C2175" i="37"/>
  <c r="E2178" i="37"/>
  <c r="C2188" i="37"/>
  <c r="E473" i="37"/>
  <c r="C483" i="37"/>
  <c r="E1094" i="37" l="1"/>
  <c r="C1104" i="37"/>
  <c r="E1081" i="37"/>
  <c r="C1091" i="37"/>
  <c r="E2197" i="37"/>
  <c r="C2207" i="37"/>
  <c r="E727" i="37"/>
  <c r="D728" i="37"/>
  <c r="E1100" i="37"/>
  <c r="C1110" i="37"/>
  <c r="E2188" i="37"/>
  <c r="C2198" i="37"/>
  <c r="E2192" i="37"/>
  <c r="C2202" i="37"/>
  <c r="E1112" i="37"/>
  <c r="C1122" i="37"/>
  <c r="E1115" i="37"/>
  <c r="C1125" i="37"/>
  <c r="E1656" i="37"/>
  <c r="C1666" i="37"/>
  <c r="E2200" i="37"/>
  <c r="C2210" i="37"/>
  <c r="E2206" i="37"/>
  <c r="C2216" i="37"/>
  <c r="E512" i="37"/>
  <c r="C522" i="37"/>
  <c r="E484" i="37"/>
  <c r="C494" i="37"/>
  <c r="E479" i="37"/>
  <c r="C489" i="37"/>
  <c r="E2175" i="37"/>
  <c r="C2185" i="37"/>
  <c r="E1277" i="37"/>
  <c r="D1278" i="37"/>
  <c r="E1642" i="37"/>
  <c r="C1652" i="37"/>
  <c r="E487" i="37"/>
  <c r="C497" i="37"/>
  <c r="E1073" i="37"/>
  <c r="C1083" i="37"/>
  <c r="E2214" i="37"/>
  <c r="C2224" i="37"/>
  <c r="E486" i="37"/>
  <c r="C496" i="37"/>
  <c r="E1106" i="37"/>
  <c r="C1116" i="37"/>
  <c r="E1640" i="37"/>
  <c r="C1650" i="37"/>
  <c r="E1657" i="37"/>
  <c r="C1667" i="37"/>
  <c r="E1629" i="37"/>
  <c r="C1639" i="37"/>
  <c r="E128" i="37"/>
  <c r="D129" i="37"/>
  <c r="E475" i="37"/>
  <c r="C485" i="37"/>
  <c r="E491" i="37"/>
  <c r="C501" i="37"/>
  <c r="E1827" i="37"/>
  <c r="D1828" i="37"/>
  <c r="E1119" i="37"/>
  <c r="C1129" i="37"/>
  <c r="E2203" i="37"/>
  <c r="C2213" i="37"/>
  <c r="E498" i="37"/>
  <c r="C508" i="37"/>
  <c r="E1623" i="37"/>
  <c r="C1633" i="37"/>
  <c r="E483" i="37"/>
  <c r="C493" i="37"/>
  <c r="E1648" i="37"/>
  <c r="C1658" i="37"/>
  <c r="E1088" i="37"/>
  <c r="C1098" i="37"/>
  <c r="E1631" i="37"/>
  <c r="C1641" i="37"/>
  <c r="E2191" i="37"/>
  <c r="C2201" i="37"/>
  <c r="E1624" i="37"/>
  <c r="C1634" i="37"/>
  <c r="E1097" i="37"/>
  <c r="C1107" i="37"/>
  <c r="E2179" i="37"/>
  <c r="C2189" i="37"/>
  <c r="E490" i="37"/>
  <c r="C500" i="37"/>
  <c r="E679" i="37"/>
  <c r="D680" i="37"/>
  <c r="E1655" i="37"/>
  <c r="C1665" i="37"/>
  <c r="E728" i="37" l="1"/>
  <c r="D729" i="37"/>
  <c r="E2207" i="37"/>
  <c r="C2217" i="37"/>
  <c r="E1091" i="37"/>
  <c r="C1101" i="37"/>
  <c r="E1110" i="37"/>
  <c r="C1120" i="37"/>
  <c r="E1104" i="37"/>
  <c r="C1114" i="37"/>
  <c r="E680" i="37"/>
  <c r="D681" i="37"/>
  <c r="E1634" i="37"/>
  <c r="C1644" i="37"/>
  <c r="E1098" i="37"/>
  <c r="C1108" i="37"/>
  <c r="E508" i="37"/>
  <c r="C518" i="37"/>
  <c r="E1116" i="37"/>
  <c r="C1126" i="37"/>
  <c r="E497" i="37"/>
  <c r="C507" i="37"/>
  <c r="E2185" i="37"/>
  <c r="C2195" i="37"/>
  <c r="E2216" i="37"/>
  <c r="C2226" i="37"/>
  <c r="E1125" i="37"/>
  <c r="C1135" i="37"/>
  <c r="E500" i="37"/>
  <c r="C510" i="37"/>
  <c r="E1658" i="37"/>
  <c r="C1668" i="37"/>
  <c r="E2213" i="37"/>
  <c r="C2223" i="37"/>
  <c r="E501" i="37"/>
  <c r="C511" i="37"/>
  <c r="E1639" i="37"/>
  <c r="C1649" i="37"/>
  <c r="E496" i="37"/>
  <c r="C506" i="37"/>
  <c r="E1652" i="37"/>
  <c r="C1662" i="37"/>
  <c r="E489" i="37"/>
  <c r="C499" i="37"/>
  <c r="E2210" i="37"/>
  <c r="C2220" i="37"/>
  <c r="E1122" i="37"/>
  <c r="C1132" i="37"/>
  <c r="E2189" i="37"/>
  <c r="C2199" i="37"/>
  <c r="E2201" i="37"/>
  <c r="C2211" i="37"/>
  <c r="E493" i="37"/>
  <c r="C503" i="37"/>
  <c r="E1129" i="37"/>
  <c r="C1139" i="37"/>
  <c r="E485" i="37"/>
  <c r="C495" i="37"/>
  <c r="E1667" i="37"/>
  <c r="C1677" i="37"/>
  <c r="E2224" i="37"/>
  <c r="C2234" i="37"/>
  <c r="E1278" i="37"/>
  <c r="D1279" i="37"/>
  <c r="E494" i="37"/>
  <c r="C504" i="37"/>
  <c r="E1666" i="37"/>
  <c r="C1676" i="37"/>
  <c r="E2202" i="37"/>
  <c r="C2212" i="37"/>
  <c r="E1665" i="37"/>
  <c r="C1675" i="37"/>
  <c r="E1107" i="37"/>
  <c r="C1117" i="37"/>
  <c r="E1641" i="37"/>
  <c r="C1651" i="37"/>
  <c r="E1633" i="37"/>
  <c r="C1643" i="37"/>
  <c r="E1828" i="37"/>
  <c r="D1829" i="37"/>
  <c r="E129" i="37"/>
  <c r="D130" i="37"/>
  <c r="E1650" i="37"/>
  <c r="C1660" i="37"/>
  <c r="E1083" i="37"/>
  <c r="C1093" i="37"/>
  <c r="E522" i="37"/>
  <c r="C532" i="37"/>
  <c r="E2198" i="37"/>
  <c r="C2208" i="37"/>
  <c r="E1120" i="37" l="1"/>
  <c r="C1130" i="37"/>
  <c r="E1101" i="37"/>
  <c r="C1111" i="37"/>
  <c r="E2217" i="37"/>
  <c r="C2227" i="37"/>
  <c r="E1114" i="37"/>
  <c r="C1124" i="37"/>
  <c r="E729" i="37"/>
  <c r="D730" i="37"/>
  <c r="E1660" i="37"/>
  <c r="C1670" i="37"/>
  <c r="E1651" i="37"/>
  <c r="C1661" i="37"/>
  <c r="E1676" i="37"/>
  <c r="C1686" i="37"/>
  <c r="E1677" i="37"/>
  <c r="C1687" i="37"/>
  <c r="E2211" i="37"/>
  <c r="C2221" i="37"/>
  <c r="E499" i="37"/>
  <c r="C509" i="37"/>
  <c r="E511" i="37"/>
  <c r="C521" i="37"/>
  <c r="E510" i="37"/>
  <c r="C520" i="37"/>
  <c r="E507" i="37"/>
  <c r="C517" i="37"/>
  <c r="E518" i="37"/>
  <c r="C528" i="37"/>
  <c r="E532" i="37"/>
  <c r="C542" i="37"/>
  <c r="E130" i="37"/>
  <c r="D131" i="37"/>
  <c r="E1117" i="37"/>
  <c r="C1127" i="37"/>
  <c r="E504" i="37"/>
  <c r="C514" i="37"/>
  <c r="E495" i="37"/>
  <c r="C505" i="37"/>
  <c r="E2199" i="37"/>
  <c r="C2209" i="37"/>
  <c r="E1662" i="37"/>
  <c r="C1672" i="37"/>
  <c r="E2223" i="37"/>
  <c r="C2233" i="37"/>
  <c r="E1135" i="37"/>
  <c r="C1145" i="37"/>
  <c r="E1126" i="37"/>
  <c r="C1136" i="37"/>
  <c r="E1108" i="37"/>
  <c r="C1118" i="37"/>
  <c r="E1829" i="37"/>
  <c r="D1830" i="37"/>
  <c r="E1675" i="37"/>
  <c r="C1685" i="37"/>
  <c r="E1279" i="37"/>
  <c r="D1280" i="37"/>
  <c r="E1139" i="37"/>
  <c r="C1149" i="37"/>
  <c r="E1132" i="37"/>
  <c r="C1142" i="37"/>
  <c r="E506" i="37"/>
  <c r="C516" i="37"/>
  <c r="E1668" i="37"/>
  <c r="C1678" i="37"/>
  <c r="E2226" i="37"/>
  <c r="C2236" i="37"/>
  <c r="E1644" i="37"/>
  <c r="C1654" i="37"/>
  <c r="E2208" i="37"/>
  <c r="C2218" i="37"/>
  <c r="E1093" i="37"/>
  <c r="C1103" i="37"/>
  <c r="E1643" i="37"/>
  <c r="C1653" i="37"/>
  <c r="E2212" i="37"/>
  <c r="C2222" i="37"/>
  <c r="E2234" i="37"/>
  <c r="C2244" i="37"/>
  <c r="E503" i="37"/>
  <c r="C513" i="37"/>
  <c r="E2220" i="37"/>
  <c r="C2230" i="37"/>
  <c r="E1649" i="37"/>
  <c r="C1659" i="37"/>
  <c r="E2195" i="37"/>
  <c r="C2205" i="37"/>
  <c r="E681" i="37"/>
  <c r="D682" i="37"/>
  <c r="C1134" i="37" l="1"/>
  <c r="E1124" i="37"/>
  <c r="E2227" i="37"/>
  <c r="C2237" i="37"/>
  <c r="C1121" i="37"/>
  <c r="E1111" i="37"/>
  <c r="D731" i="37"/>
  <c r="E730" i="37"/>
  <c r="E1130" i="37"/>
  <c r="C1140" i="37"/>
  <c r="E2230" i="37"/>
  <c r="C2240" i="37"/>
  <c r="E1653" i="37"/>
  <c r="C1663" i="37"/>
  <c r="E1142" i="37"/>
  <c r="C1152" i="37"/>
  <c r="E1830" i="37"/>
  <c r="D1831" i="37"/>
  <c r="E1145" i="37"/>
  <c r="C1155" i="37"/>
  <c r="E505" i="37"/>
  <c r="C515" i="37"/>
  <c r="E542" i="37"/>
  <c r="C552" i="37"/>
  <c r="E521" i="37"/>
  <c r="C531" i="37"/>
  <c r="E1686" i="37"/>
  <c r="C1696" i="37"/>
  <c r="E2205" i="37"/>
  <c r="C2215" i="37"/>
  <c r="E513" i="37"/>
  <c r="C523" i="37"/>
  <c r="E1103" i="37"/>
  <c r="C1113" i="37"/>
  <c r="E2236" i="37"/>
  <c r="C2246" i="37"/>
  <c r="E1149" i="37"/>
  <c r="C1159" i="37"/>
  <c r="E2233" i="37"/>
  <c r="C2243" i="37"/>
  <c r="E514" i="37"/>
  <c r="C524" i="37"/>
  <c r="E528" i="37"/>
  <c r="C538" i="37"/>
  <c r="E509" i="37"/>
  <c r="C519" i="37"/>
  <c r="E1661" i="37"/>
  <c r="C1671" i="37"/>
  <c r="E2244" i="37"/>
  <c r="C2254" i="37"/>
  <c r="E2218" i="37"/>
  <c r="C2228" i="37"/>
  <c r="E1678" i="37"/>
  <c r="C1688" i="37"/>
  <c r="E1280" i="37"/>
  <c r="D1281" i="37"/>
  <c r="E1118" i="37"/>
  <c r="C1128" i="37"/>
  <c r="E1672" i="37"/>
  <c r="C1682" i="37"/>
  <c r="E1127" i="37"/>
  <c r="C1137" i="37"/>
  <c r="E517" i="37"/>
  <c r="C527" i="37"/>
  <c r="E2221" i="37"/>
  <c r="C2231" i="37"/>
  <c r="E1670" i="37"/>
  <c r="C1680" i="37"/>
  <c r="E682" i="37"/>
  <c r="D683" i="37"/>
  <c r="E1659" i="37"/>
  <c r="C1669" i="37"/>
  <c r="E2222" i="37"/>
  <c r="C2232" i="37"/>
  <c r="E1654" i="37"/>
  <c r="C1664" i="37"/>
  <c r="E516" i="37"/>
  <c r="C526" i="37"/>
  <c r="E1685" i="37"/>
  <c r="C1695" i="37"/>
  <c r="E1136" i="37"/>
  <c r="C1146" i="37"/>
  <c r="E2209" i="37"/>
  <c r="C2219" i="37"/>
  <c r="E131" i="37"/>
  <c r="D132" i="37"/>
  <c r="E520" i="37"/>
  <c r="C530" i="37"/>
  <c r="E1687" i="37"/>
  <c r="C1697" i="37"/>
  <c r="E731" i="37" l="1"/>
  <c r="D732" i="37"/>
  <c r="E1121" i="37"/>
  <c r="C1131" i="37"/>
  <c r="C2247" i="37"/>
  <c r="E2237" i="37"/>
  <c r="E1140" i="37"/>
  <c r="C1150" i="37"/>
  <c r="E1134" i="37"/>
  <c r="C1144" i="37"/>
  <c r="E1697" i="37"/>
  <c r="C1707" i="37"/>
  <c r="E1146" i="37"/>
  <c r="C1156" i="37"/>
  <c r="E2232" i="37"/>
  <c r="C2242" i="37"/>
  <c r="E2231" i="37"/>
  <c r="C2241" i="37"/>
  <c r="E1128" i="37"/>
  <c r="C1138" i="37"/>
  <c r="E2254" i="37"/>
  <c r="C2264" i="37"/>
  <c r="E538" i="37"/>
  <c r="C548" i="37"/>
  <c r="E1159" i="37"/>
  <c r="C1169" i="37"/>
  <c r="E2215" i="37"/>
  <c r="C2225" i="37"/>
  <c r="E515" i="37"/>
  <c r="C525" i="37"/>
  <c r="E530" i="37"/>
  <c r="C540" i="37"/>
  <c r="E1695" i="37"/>
  <c r="C1705" i="37"/>
  <c r="E1669" i="37"/>
  <c r="C1679" i="37"/>
  <c r="E527" i="37"/>
  <c r="C537" i="37"/>
  <c r="E1281" i="37"/>
  <c r="D1282" i="37"/>
  <c r="E524" i="37"/>
  <c r="C534" i="37"/>
  <c r="E2246" i="37"/>
  <c r="C2256" i="37"/>
  <c r="E1696" i="37"/>
  <c r="C1706" i="37"/>
  <c r="E1155" i="37"/>
  <c r="C1165" i="37"/>
  <c r="E1663" i="37"/>
  <c r="C1673" i="37"/>
  <c r="E132" i="37"/>
  <c r="D133" i="37"/>
  <c r="E526" i="37"/>
  <c r="C536" i="37"/>
  <c r="E683" i="37"/>
  <c r="D684" i="37"/>
  <c r="E1137" i="37"/>
  <c r="C1147" i="37"/>
  <c r="E1688" i="37"/>
  <c r="C1698" i="37"/>
  <c r="E1671" i="37"/>
  <c r="C1681" i="37"/>
  <c r="E2243" i="37"/>
  <c r="C2253" i="37"/>
  <c r="E1113" i="37"/>
  <c r="C1123" i="37"/>
  <c r="E531" i="37"/>
  <c r="C541" i="37"/>
  <c r="E1831" i="37"/>
  <c r="D1832" i="37"/>
  <c r="E2240" i="37"/>
  <c r="C2250" i="37"/>
  <c r="E2219" i="37"/>
  <c r="C2229" i="37"/>
  <c r="E1664" i="37"/>
  <c r="C1674" i="37"/>
  <c r="E1680" i="37"/>
  <c r="C1690" i="37"/>
  <c r="E1682" i="37"/>
  <c r="C1692" i="37"/>
  <c r="E2228" i="37"/>
  <c r="C2238" i="37"/>
  <c r="E519" i="37"/>
  <c r="C529" i="37"/>
  <c r="E523" i="37"/>
  <c r="C533" i="37"/>
  <c r="E552" i="37"/>
  <c r="C562" i="37"/>
  <c r="E1152" i="37"/>
  <c r="C1162" i="37"/>
  <c r="E1150" i="37" l="1"/>
  <c r="C1160" i="37"/>
  <c r="E2247" i="37"/>
  <c r="C2257" i="37"/>
  <c r="E1131" i="37"/>
  <c r="C1141" i="37"/>
  <c r="E1144" i="37"/>
  <c r="C1154" i="37"/>
  <c r="D733" i="37"/>
  <c r="E732" i="37"/>
  <c r="E1832" i="37"/>
  <c r="D1833" i="37"/>
  <c r="E2241" i="37"/>
  <c r="C2251" i="37"/>
  <c r="E1162" i="37"/>
  <c r="C1172" i="37"/>
  <c r="E1681" i="37"/>
  <c r="C1691" i="37"/>
  <c r="E1169" i="37"/>
  <c r="C1179" i="37"/>
  <c r="E562" i="37"/>
  <c r="C572" i="37"/>
  <c r="E2238" i="37"/>
  <c r="C2248" i="37"/>
  <c r="E2229" i="37"/>
  <c r="C2239" i="37"/>
  <c r="E541" i="37"/>
  <c r="C551" i="37"/>
  <c r="E1698" i="37"/>
  <c r="C1708" i="37"/>
  <c r="E133" i="37"/>
  <c r="D134" i="37"/>
  <c r="E2256" i="37"/>
  <c r="C2266" i="37"/>
  <c r="E537" i="37"/>
  <c r="C547" i="37"/>
  <c r="E548" i="37"/>
  <c r="C558" i="37"/>
  <c r="E2242" i="37"/>
  <c r="C2252" i="37"/>
  <c r="E1706" i="37"/>
  <c r="C1716" i="37"/>
  <c r="E529" i="37"/>
  <c r="C539" i="37"/>
  <c r="E536" i="37"/>
  <c r="C546" i="37"/>
  <c r="E540" i="37"/>
  <c r="C550" i="37"/>
  <c r="E533" i="37"/>
  <c r="C543" i="37"/>
  <c r="E1692" i="37"/>
  <c r="C1702" i="37"/>
  <c r="E1123" i="37"/>
  <c r="C1133" i="37"/>
  <c r="E1147" i="37"/>
  <c r="C1157" i="37"/>
  <c r="E1673" i="37"/>
  <c r="C1683" i="37"/>
  <c r="E534" i="37"/>
  <c r="C544" i="37"/>
  <c r="E1679" i="37"/>
  <c r="C1689" i="37"/>
  <c r="E525" i="37"/>
  <c r="C535" i="37"/>
  <c r="E2264" i="37"/>
  <c r="C2274" i="37"/>
  <c r="E1156" i="37"/>
  <c r="C1166" i="37"/>
  <c r="E1282" i="37"/>
  <c r="D1283" i="37"/>
  <c r="E1674" i="37"/>
  <c r="C1684" i="37"/>
  <c r="E1690" i="37"/>
  <c r="C1700" i="37"/>
  <c r="E2250" i="37"/>
  <c r="C2260" i="37"/>
  <c r="E2253" i="37"/>
  <c r="C2263" i="37"/>
  <c r="E684" i="37"/>
  <c r="D685" i="37"/>
  <c r="E1165" i="37"/>
  <c r="C1175" i="37"/>
  <c r="E1705" i="37"/>
  <c r="C1715" i="37"/>
  <c r="E2225" i="37"/>
  <c r="C2235" i="37"/>
  <c r="E1138" i="37"/>
  <c r="C1148" i="37"/>
  <c r="E1707" i="37"/>
  <c r="C1717" i="37"/>
  <c r="E1154" i="37" l="1"/>
  <c r="C1164" i="37"/>
  <c r="E1141" i="37"/>
  <c r="C1151" i="37"/>
  <c r="E2257" i="37"/>
  <c r="C2267" i="37"/>
  <c r="E1160" i="37"/>
  <c r="C1170" i="37"/>
  <c r="E733" i="37"/>
  <c r="D734" i="37"/>
  <c r="E1148" i="37"/>
  <c r="C1158" i="37"/>
  <c r="E1175" i="37"/>
  <c r="C1185" i="37"/>
  <c r="E1700" i="37"/>
  <c r="C1710" i="37"/>
  <c r="E1283" i="37"/>
  <c r="D1284" i="37"/>
  <c r="E1689" i="37"/>
  <c r="C1699" i="37"/>
  <c r="E1133" i="37"/>
  <c r="C1143" i="37"/>
  <c r="E550" i="37"/>
  <c r="C560" i="37"/>
  <c r="E2252" i="37"/>
  <c r="C2262" i="37"/>
  <c r="E2266" i="37"/>
  <c r="C2276" i="37"/>
  <c r="E2239" i="37"/>
  <c r="C2249" i="37"/>
  <c r="E1691" i="37"/>
  <c r="C1701" i="37"/>
  <c r="E2235" i="37"/>
  <c r="C2245" i="37"/>
  <c r="E685" i="37"/>
  <c r="D686" i="37"/>
  <c r="E1166" i="37"/>
  <c r="C1176" i="37"/>
  <c r="E544" i="37"/>
  <c r="C554" i="37"/>
  <c r="E546" i="37"/>
  <c r="C556" i="37"/>
  <c r="E558" i="37"/>
  <c r="C568" i="37"/>
  <c r="E134" i="37"/>
  <c r="D135" i="37"/>
  <c r="E2248" i="37"/>
  <c r="C2258" i="37"/>
  <c r="E1172" i="37"/>
  <c r="C1182" i="37"/>
  <c r="E1715" i="37"/>
  <c r="C1725" i="37"/>
  <c r="E2263" i="37"/>
  <c r="C2273" i="37"/>
  <c r="E2274" i="37"/>
  <c r="C2284" i="37"/>
  <c r="E1683" i="37"/>
  <c r="C1693" i="37"/>
  <c r="E1702" i="37"/>
  <c r="C1712" i="37"/>
  <c r="E539" i="37"/>
  <c r="C549" i="37"/>
  <c r="E1708" i="37"/>
  <c r="C1718" i="37"/>
  <c r="E572" i="37"/>
  <c r="C582" i="37"/>
  <c r="E2251" i="37"/>
  <c r="C2261" i="37"/>
  <c r="E1717" i="37"/>
  <c r="C1727" i="37"/>
  <c r="E2260" i="37"/>
  <c r="C2270" i="37"/>
  <c r="E1684" i="37"/>
  <c r="C1694" i="37"/>
  <c r="E535" i="37"/>
  <c r="C545" i="37"/>
  <c r="E1157" i="37"/>
  <c r="C1167" i="37"/>
  <c r="E543" i="37"/>
  <c r="C553" i="37"/>
  <c r="E1716" i="37"/>
  <c r="C1726" i="37"/>
  <c r="E547" i="37"/>
  <c r="C557" i="37"/>
  <c r="E551" i="37"/>
  <c r="C561" i="37"/>
  <c r="E1179" i="37"/>
  <c r="C1189" i="37"/>
  <c r="E1833" i="37"/>
  <c r="D1834" i="37"/>
  <c r="E1170" i="37" l="1"/>
  <c r="C1180" i="37"/>
  <c r="E2267" i="37"/>
  <c r="C2277" i="37"/>
  <c r="E1151" i="37"/>
  <c r="C1161" i="37"/>
  <c r="E734" i="37"/>
  <c r="D735" i="37"/>
  <c r="E1164" i="37"/>
  <c r="C1174" i="37"/>
  <c r="E582" i="37"/>
  <c r="C592" i="37"/>
  <c r="E135" i="37"/>
  <c r="D136" i="37"/>
  <c r="E2245" i="37"/>
  <c r="C2255" i="37"/>
  <c r="E1284" i="37"/>
  <c r="D1285" i="37"/>
  <c r="E2270" i="37"/>
  <c r="C2280" i="37"/>
  <c r="E2273" i="37"/>
  <c r="C2283" i="37"/>
  <c r="E2262" i="37"/>
  <c r="C2272" i="37"/>
  <c r="E561" i="37"/>
  <c r="C571" i="37"/>
  <c r="E1167" i="37"/>
  <c r="C1177" i="37"/>
  <c r="E1718" i="37"/>
  <c r="C1728" i="37"/>
  <c r="E1693" i="37"/>
  <c r="C1703" i="37"/>
  <c r="E1725" i="37"/>
  <c r="C1735" i="37"/>
  <c r="E568" i="37"/>
  <c r="C578" i="37"/>
  <c r="E1176" i="37"/>
  <c r="C1186" i="37"/>
  <c r="E1701" i="37"/>
  <c r="C1711" i="37"/>
  <c r="E560" i="37"/>
  <c r="C570" i="37"/>
  <c r="E1710" i="37"/>
  <c r="C1720" i="37"/>
  <c r="E1189" i="37"/>
  <c r="C1199" i="37"/>
  <c r="E553" i="37"/>
  <c r="C563" i="37"/>
  <c r="E1712" i="37"/>
  <c r="C1722" i="37"/>
  <c r="E554" i="37"/>
  <c r="C564" i="37"/>
  <c r="E557" i="37"/>
  <c r="C567" i="37"/>
  <c r="E545" i="37"/>
  <c r="C555" i="37"/>
  <c r="E1727" i="37"/>
  <c r="C1737" i="37"/>
  <c r="E2284" i="37"/>
  <c r="C2294" i="37"/>
  <c r="E1182" i="37"/>
  <c r="C1192" i="37"/>
  <c r="E556" i="37"/>
  <c r="C566" i="37"/>
  <c r="E2249" i="37"/>
  <c r="C2259" i="37"/>
  <c r="E1143" i="37"/>
  <c r="C1153" i="37"/>
  <c r="E1185" i="37"/>
  <c r="C1195" i="37"/>
  <c r="E1834" i="37"/>
  <c r="D1835" i="37"/>
  <c r="E1726" i="37"/>
  <c r="C1736" i="37"/>
  <c r="E1694" i="37"/>
  <c r="C1704" i="37"/>
  <c r="E2261" i="37"/>
  <c r="C2271" i="37"/>
  <c r="E549" i="37"/>
  <c r="C559" i="37"/>
  <c r="E2258" i="37"/>
  <c r="C2268" i="37"/>
  <c r="E686" i="37"/>
  <c r="D687" i="37"/>
  <c r="E2276" i="37"/>
  <c r="C2286" i="37"/>
  <c r="E1699" i="37"/>
  <c r="C1709" i="37"/>
  <c r="E1158" i="37"/>
  <c r="C1168" i="37"/>
  <c r="E735" i="37" l="1"/>
  <c r="D736" i="37"/>
  <c r="E1161" i="37"/>
  <c r="C1171" i="37"/>
  <c r="E2277" i="37"/>
  <c r="C2287" i="37"/>
  <c r="E1174" i="37"/>
  <c r="C1184" i="37"/>
  <c r="E1180" i="37"/>
  <c r="C1190" i="37"/>
  <c r="E1192" i="37"/>
  <c r="C1202" i="37"/>
  <c r="E1285" i="37"/>
  <c r="D1286" i="37"/>
  <c r="E1153" i="37"/>
  <c r="C1163" i="37"/>
  <c r="E563" i="37"/>
  <c r="C573" i="37"/>
  <c r="E2286" i="37"/>
  <c r="C2296" i="37"/>
  <c r="E1736" i="37"/>
  <c r="C1746" i="37"/>
  <c r="E2259" i="37"/>
  <c r="C2269" i="37"/>
  <c r="E2294" i="37"/>
  <c r="C2304" i="37"/>
  <c r="E567" i="37"/>
  <c r="C577" i="37"/>
  <c r="E1199" i="37"/>
  <c r="C1209" i="37"/>
  <c r="E1186" i="37"/>
  <c r="C1196" i="37"/>
  <c r="E1728" i="37"/>
  <c r="C1738" i="37"/>
  <c r="E2272" i="37"/>
  <c r="C2282" i="37"/>
  <c r="E2255" i="37"/>
  <c r="C2265" i="37"/>
  <c r="E2268" i="37"/>
  <c r="C2278" i="37"/>
  <c r="E1703" i="37"/>
  <c r="C1713" i="37"/>
  <c r="E687" i="37"/>
  <c r="D688" i="37"/>
  <c r="E559" i="37"/>
  <c r="C569" i="37"/>
  <c r="E1835" i="37"/>
  <c r="D1836" i="37"/>
  <c r="E564" i="37"/>
  <c r="C574" i="37"/>
  <c r="E1720" i="37"/>
  <c r="C1730" i="37"/>
  <c r="E578" i="37"/>
  <c r="C588" i="37"/>
  <c r="E2283" i="37"/>
  <c r="C2293" i="37"/>
  <c r="E136" i="37"/>
  <c r="D137" i="37"/>
  <c r="E1709" i="37"/>
  <c r="C1719" i="37"/>
  <c r="E1711" i="37"/>
  <c r="C1721" i="37"/>
  <c r="E1704" i="37"/>
  <c r="C1714" i="37"/>
  <c r="E555" i="37"/>
  <c r="C565" i="37"/>
  <c r="E571" i="37"/>
  <c r="C581" i="37"/>
  <c r="E1168" i="37"/>
  <c r="C1178" i="37"/>
  <c r="E2271" i="37"/>
  <c r="C2281" i="37"/>
  <c r="E1195" i="37"/>
  <c r="C1205" i="37"/>
  <c r="E566" i="37"/>
  <c r="C576" i="37"/>
  <c r="E1737" i="37"/>
  <c r="C1747" i="37"/>
  <c r="E1722" i="37"/>
  <c r="C1732" i="37"/>
  <c r="E570" i="37"/>
  <c r="C580" i="37"/>
  <c r="E1735" i="37"/>
  <c r="C1745" i="37"/>
  <c r="E1177" i="37"/>
  <c r="C1187" i="37"/>
  <c r="E2280" i="37"/>
  <c r="C2290" i="37"/>
  <c r="E592" i="37"/>
  <c r="C602" i="37"/>
  <c r="E1184" i="37" l="1"/>
  <c r="C1194" i="37"/>
  <c r="E2287" i="37"/>
  <c r="C2297" i="37"/>
  <c r="E1171" i="37"/>
  <c r="C1181" i="37"/>
  <c r="E1190" i="37"/>
  <c r="C1200" i="37"/>
  <c r="E736" i="37"/>
  <c r="D737" i="37"/>
  <c r="E2290" i="37"/>
  <c r="C2300" i="37"/>
  <c r="E1732" i="37"/>
  <c r="C1742" i="37"/>
  <c r="E2281" i="37"/>
  <c r="C2291" i="37"/>
  <c r="E565" i="37"/>
  <c r="C575" i="37"/>
  <c r="E137" i="37"/>
  <c r="D138" i="37"/>
  <c r="E1730" i="37"/>
  <c r="C1740" i="37"/>
  <c r="E1836" i="37"/>
  <c r="D1837" i="37"/>
  <c r="E2278" i="37"/>
  <c r="C2288" i="37"/>
  <c r="E1196" i="37"/>
  <c r="C1206" i="37"/>
  <c r="E2269" i="37"/>
  <c r="C2279" i="37"/>
  <c r="E573" i="37"/>
  <c r="C583" i="37"/>
  <c r="E1187" i="37"/>
  <c r="C1197" i="37"/>
  <c r="E1747" i="37"/>
  <c r="C1757" i="37"/>
  <c r="E1714" i="37"/>
  <c r="C1724" i="37"/>
  <c r="E2293" i="37"/>
  <c r="C2303" i="37"/>
  <c r="E574" i="37"/>
  <c r="C584" i="37"/>
  <c r="E569" i="37"/>
  <c r="C579" i="37"/>
  <c r="E2265" i="37"/>
  <c r="C2275" i="37"/>
  <c r="E1209" i="37"/>
  <c r="C1219" i="37"/>
  <c r="E1746" i="37"/>
  <c r="C1756" i="37"/>
  <c r="E1163" i="37"/>
  <c r="C1173" i="37"/>
  <c r="E1745" i="37"/>
  <c r="C1755" i="37"/>
  <c r="E576" i="37"/>
  <c r="C586" i="37"/>
  <c r="E1178" i="37"/>
  <c r="C1188" i="37"/>
  <c r="E1721" i="37"/>
  <c r="C1731" i="37"/>
  <c r="E688" i="37"/>
  <c r="D689" i="37"/>
  <c r="E2282" i="37"/>
  <c r="C2292" i="37"/>
  <c r="E577" i="37"/>
  <c r="C587" i="37"/>
  <c r="E1286" i="37"/>
  <c r="D1287" i="37"/>
  <c r="E602" i="37"/>
  <c r="C612" i="37"/>
  <c r="E580" i="37"/>
  <c r="C590" i="37"/>
  <c r="E1205" i="37"/>
  <c r="C1215" i="37"/>
  <c r="E581" i="37"/>
  <c r="C591" i="37"/>
  <c r="E1719" i="37"/>
  <c r="C1729" i="37"/>
  <c r="E588" i="37"/>
  <c r="C598" i="37"/>
  <c r="E1713" i="37"/>
  <c r="C1723" i="37"/>
  <c r="E1738" i="37"/>
  <c r="C1748" i="37"/>
  <c r="E2304" i="37"/>
  <c r="C2314" i="37"/>
  <c r="E2296" i="37"/>
  <c r="C2306" i="37"/>
  <c r="E1202" i="37"/>
  <c r="C1212" i="37"/>
  <c r="E1200" i="37" l="1"/>
  <c r="C1210" i="37"/>
  <c r="E1181" i="37"/>
  <c r="C1191" i="37"/>
  <c r="E2297" i="37"/>
  <c r="C2307" i="37"/>
  <c r="E737" i="37"/>
  <c r="D738" i="37"/>
  <c r="E1194" i="37"/>
  <c r="C1204" i="37"/>
  <c r="E2306" i="37"/>
  <c r="C2316" i="37"/>
  <c r="E1215" i="37"/>
  <c r="C1225" i="37"/>
  <c r="E586" i="37"/>
  <c r="C596" i="37"/>
  <c r="E1219" i="37"/>
  <c r="C1229" i="37"/>
  <c r="E2303" i="37"/>
  <c r="C2313" i="37"/>
  <c r="E1197" i="37"/>
  <c r="C1207" i="37"/>
  <c r="E2288" i="37"/>
  <c r="C2298" i="37"/>
  <c r="E575" i="37"/>
  <c r="C585" i="37"/>
  <c r="E2314" i="37"/>
  <c r="C2324" i="37"/>
  <c r="E598" i="37"/>
  <c r="C608" i="37"/>
  <c r="E590" i="37"/>
  <c r="C600" i="37"/>
  <c r="E587" i="37"/>
  <c r="C597" i="37"/>
  <c r="E1755" i="37"/>
  <c r="C1765" i="37"/>
  <c r="E2275" i="37"/>
  <c r="C2285" i="37"/>
  <c r="E1724" i="37"/>
  <c r="C1734" i="37"/>
  <c r="E583" i="37"/>
  <c r="C593" i="37"/>
  <c r="E1837" i="37"/>
  <c r="D1838" i="37"/>
  <c r="E2291" i="37"/>
  <c r="C2301" i="37"/>
  <c r="E1748" i="37"/>
  <c r="C1758" i="37"/>
  <c r="E1729" i="37"/>
  <c r="C1739" i="37"/>
  <c r="E612" i="37"/>
  <c r="C622" i="37"/>
  <c r="E2292" i="37"/>
  <c r="C2302" i="37"/>
  <c r="E1731" i="37"/>
  <c r="C1741" i="37"/>
  <c r="E1173" i="37"/>
  <c r="C1183" i="37"/>
  <c r="E579" i="37"/>
  <c r="C589" i="37"/>
  <c r="E2279" i="37"/>
  <c r="C2289" i="37"/>
  <c r="E1740" i="37"/>
  <c r="C1750" i="37"/>
  <c r="E1742" i="37"/>
  <c r="C1752" i="37"/>
  <c r="E1212" i="37"/>
  <c r="C1222" i="37"/>
  <c r="E1723" i="37"/>
  <c r="C1733" i="37"/>
  <c r="E591" i="37"/>
  <c r="C601" i="37"/>
  <c r="E1287" i="37"/>
  <c r="D1288" i="37"/>
  <c r="E689" i="37"/>
  <c r="D690" i="37"/>
  <c r="E1188" i="37"/>
  <c r="C1198" i="37"/>
  <c r="E1756" i="37"/>
  <c r="C1766" i="37"/>
  <c r="E584" i="37"/>
  <c r="C594" i="37"/>
  <c r="E1757" i="37"/>
  <c r="C1767" i="37"/>
  <c r="E1206" i="37"/>
  <c r="C1216" i="37"/>
  <c r="E138" i="37"/>
  <c r="D139" i="37"/>
  <c r="E2300" i="37"/>
  <c r="C2310" i="37"/>
  <c r="E738" i="37" l="1"/>
  <c r="D739" i="37"/>
  <c r="C2317" i="37"/>
  <c r="E2307" i="37"/>
  <c r="E1191" i="37"/>
  <c r="C1201" i="37"/>
  <c r="E1204" i="37"/>
  <c r="C1214" i="37"/>
  <c r="C1220" i="37"/>
  <c r="E1210" i="37"/>
  <c r="E139" i="37"/>
  <c r="D140" i="37"/>
  <c r="E1766" i="37"/>
  <c r="C1776" i="37"/>
  <c r="E601" i="37"/>
  <c r="C611" i="37"/>
  <c r="E1750" i="37"/>
  <c r="C1760" i="37"/>
  <c r="E1183" i="37"/>
  <c r="C1193" i="37"/>
  <c r="E1739" i="37"/>
  <c r="C1749" i="37"/>
  <c r="E593" i="37"/>
  <c r="C603" i="37"/>
  <c r="E2324" i="37"/>
  <c r="C2334" i="37"/>
  <c r="E2334" i="37" s="1"/>
  <c r="E2313" i="37"/>
  <c r="C2323" i="37"/>
  <c r="E1216" i="37"/>
  <c r="C1226" i="37"/>
  <c r="E1198" i="37"/>
  <c r="C1208" i="37"/>
  <c r="E1733" i="37"/>
  <c r="C1743" i="37"/>
  <c r="E2289" i="37"/>
  <c r="C2299" i="37"/>
  <c r="E1741" i="37"/>
  <c r="C1751" i="37"/>
  <c r="E1758" i="37"/>
  <c r="C1768" i="37"/>
  <c r="E1734" i="37"/>
  <c r="C1744" i="37"/>
  <c r="E597" i="37"/>
  <c r="C607" i="37"/>
  <c r="E585" i="37"/>
  <c r="C595" i="37"/>
  <c r="E1229" i="37"/>
  <c r="C1239" i="37"/>
  <c r="E1239" i="37" s="1"/>
  <c r="E1225" i="37"/>
  <c r="C1235" i="37"/>
  <c r="E1235" i="37" s="1"/>
  <c r="E1767" i="37"/>
  <c r="C1777" i="37"/>
  <c r="E690" i="37"/>
  <c r="D691" i="37"/>
  <c r="E1222" i="37"/>
  <c r="C1232" i="37"/>
  <c r="E2302" i="37"/>
  <c r="C2312" i="37"/>
  <c r="E2301" i="37"/>
  <c r="C2311" i="37"/>
  <c r="E2285" i="37"/>
  <c r="C2295" i="37"/>
  <c r="E600" i="37"/>
  <c r="C610" i="37"/>
  <c r="E2298" i="37"/>
  <c r="C2308" i="37"/>
  <c r="E596" i="37"/>
  <c r="C606" i="37"/>
  <c r="E2310" i="37"/>
  <c r="C2320" i="37"/>
  <c r="E594" i="37"/>
  <c r="C604" i="37"/>
  <c r="E1288" i="37"/>
  <c r="D1289" i="37"/>
  <c r="E1752" i="37"/>
  <c r="C1762" i="37"/>
  <c r="E589" i="37"/>
  <c r="C599" i="37"/>
  <c r="E622" i="37"/>
  <c r="C632" i="37"/>
  <c r="E1838" i="37"/>
  <c r="D1839" i="37"/>
  <c r="E1765" i="37"/>
  <c r="C1775" i="37"/>
  <c r="E608" i="37"/>
  <c r="C618" i="37"/>
  <c r="E1207" i="37"/>
  <c r="C1217" i="37"/>
  <c r="E2316" i="37"/>
  <c r="C2326" i="37"/>
  <c r="E1214" i="37" l="1"/>
  <c r="C1224" i="37"/>
  <c r="E1201" i="37"/>
  <c r="C1211" i="37"/>
  <c r="E2317" i="37"/>
  <c r="C2327" i="37"/>
  <c r="D740" i="37"/>
  <c r="E739" i="37"/>
  <c r="E1220" i="37"/>
  <c r="C1230" i="37"/>
  <c r="E1839" i="37"/>
  <c r="D1840" i="37"/>
  <c r="E1289" i="37"/>
  <c r="D1290" i="37"/>
  <c r="E606" i="37"/>
  <c r="C616" i="37"/>
  <c r="E2311" i="37"/>
  <c r="C2321" i="37"/>
  <c r="E691" i="37"/>
  <c r="D692" i="37"/>
  <c r="E692" i="37" s="1"/>
  <c r="E595" i="37"/>
  <c r="C605" i="37"/>
  <c r="E1751" i="37"/>
  <c r="C1761" i="37"/>
  <c r="E1226" i="37"/>
  <c r="C1236" i="37"/>
  <c r="E1236" i="37" s="1"/>
  <c r="E1760" i="37"/>
  <c r="C1770" i="37"/>
  <c r="E1217" i="37"/>
  <c r="C1227" i="37"/>
  <c r="E632" i="37"/>
  <c r="C642" i="37"/>
  <c r="E642" i="37" s="1"/>
  <c r="E604" i="37"/>
  <c r="C614" i="37"/>
  <c r="E2308" i="37"/>
  <c r="C2318" i="37"/>
  <c r="E2312" i="37"/>
  <c r="C2322" i="37"/>
  <c r="E1777" i="37"/>
  <c r="C1787" i="37"/>
  <c r="E1787" i="37" s="1"/>
  <c r="E607" i="37"/>
  <c r="C617" i="37"/>
  <c r="E2299" i="37"/>
  <c r="C2309" i="37"/>
  <c r="E603" i="37"/>
  <c r="C613" i="37"/>
  <c r="E611" i="37"/>
  <c r="C621" i="37"/>
  <c r="E618" i="37"/>
  <c r="C628" i="37"/>
  <c r="E599" i="37"/>
  <c r="C609" i="37"/>
  <c r="E2320" i="37"/>
  <c r="C2330" i="37"/>
  <c r="E610" i="37"/>
  <c r="C620" i="37"/>
  <c r="E1744" i="37"/>
  <c r="C1754" i="37"/>
  <c r="E1743" i="37"/>
  <c r="C1753" i="37"/>
  <c r="E2323" i="37"/>
  <c r="C2333" i="37"/>
  <c r="E2333" i="37" s="1"/>
  <c r="E1749" i="37"/>
  <c r="C1759" i="37"/>
  <c r="E1776" i="37"/>
  <c r="C1786" i="37"/>
  <c r="E1786" i="37" s="1"/>
  <c r="E2326" i="37"/>
  <c r="C2336" i="37"/>
  <c r="E2336" i="37" s="1"/>
  <c r="E1775" i="37"/>
  <c r="C1785" i="37"/>
  <c r="E1785" i="37" s="1"/>
  <c r="E1762" i="37"/>
  <c r="C1772" i="37"/>
  <c r="E2295" i="37"/>
  <c r="C2305" i="37"/>
  <c r="E1232" i="37"/>
  <c r="C1242" i="37"/>
  <c r="E1242" i="37" s="1"/>
  <c r="E1768" i="37"/>
  <c r="C1778" i="37"/>
  <c r="E1208" i="37"/>
  <c r="C1218" i="37"/>
  <c r="E1193" i="37"/>
  <c r="C1203" i="37"/>
  <c r="E140" i="37"/>
  <c r="D141" i="37"/>
  <c r="E740" i="37" l="1"/>
  <c r="D741" i="37"/>
  <c r="E2327" i="37"/>
  <c r="C2337" i="37"/>
  <c r="E2337" i="37" s="1"/>
  <c r="E1211" i="37"/>
  <c r="C1221" i="37"/>
  <c r="E1230" i="37"/>
  <c r="C1240" i="37"/>
  <c r="E1240" i="37" s="1"/>
  <c r="E1224" i="37"/>
  <c r="C1234" i="37"/>
  <c r="E1234" i="37" s="1"/>
  <c r="E1218" i="37"/>
  <c r="C1228" i="37"/>
  <c r="E1772" i="37"/>
  <c r="C1782" i="37"/>
  <c r="E1759" i="37"/>
  <c r="C1769" i="37"/>
  <c r="E620" i="37"/>
  <c r="C630" i="37"/>
  <c r="E621" i="37"/>
  <c r="C631" i="37"/>
  <c r="E2321" i="37"/>
  <c r="C2331" i="37"/>
  <c r="E1778" i="37"/>
  <c r="C1788" i="37"/>
  <c r="E1788" i="37" s="1"/>
  <c r="E2330" i="37"/>
  <c r="C2340" i="37"/>
  <c r="E2340" i="37" s="1"/>
  <c r="E613" i="37"/>
  <c r="C623" i="37"/>
  <c r="E2322" i="37"/>
  <c r="C2332" i="37"/>
  <c r="E1227" i="37"/>
  <c r="C1237" i="37"/>
  <c r="E1237" i="37" s="1"/>
  <c r="E1761" i="37"/>
  <c r="C1771" i="37"/>
  <c r="E616" i="37"/>
  <c r="C626" i="37"/>
  <c r="E141" i="37"/>
  <c r="D142" i="37"/>
  <c r="E142" i="37" s="1"/>
  <c r="E1753" i="37"/>
  <c r="C1763" i="37"/>
  <c r="E609" i="37"/>
  <c r="C619" i="37"/>
  <c r="E2309" i="37"/>
  <c r="C2319" i="37"/>
  <c r="E2318" i="37"/>
  <c r="C2328" i="37"/>
  <c r="E1770" i="37"/>
  <c r="C1780" i="37"/>
  <c r="E605" i="37"/>
  <c r="C615" i="37"/>
  <c r="E1290" i="37"/>
  <c r="D1291" i="37"/>
  <c r="E1203" i="37"/>
  <c r="C1213" i="37"/>
  <c r="E2305" i="37"/>
  <c r="C2315" i="37"/>
  <c r="E1754" i="37"/>
  <c r="C1764" i="37"/>
  <c r="E628" i="37"/>
  <c r="C638" i="37"/>
  <c r="E638" i="37" s="1"/>
  <c r="E617" i="37"/>
  <c r="C627" i="37"/>
  <c r="E614" i="37"/>
  <c r="C624" i="37"/>
  <c r="E1840" i="37"/>
  <c r="D1841" i="37"/>
  <c r="E1221" i="37" l="1"/>
  <c r="C1231" i="37"/>
  <c r="E741" i="37"/>
  <c r="D742" i="37"/>
  <c r="E742" i="37" s="1"/>
  <c r="E1841" i="37"/>
  <c r="D1842" i="37"/>
  <c r="E1842" i="37" s="1"/>
  <c r="E1764" i="37"/>
  <c r="C1774" i="37"/>
  <c r="E615" i="37"/>
  <c r="C625" i="37"/>
  <c r="E619" i="37"/>
  <c r="C629" i="37"/>
  <c r="E1771" i="37"/>
  <c r="C1781" i="37"/>
  <c r="E630" i="37"/>
  <c r="C640" i="37"/>
  <c r="E640" i="37" s="1"/>
  <c r="E624" i="37"/>
  <c r="C634" i="37"/>
  <c r="E634" i="37" s="1"/>
  <c r="E2315" i="37"/>
  <c r="C2325" i="37"/>
  <c r="E1780" i="37"/>
  <c r="C1790" i="37"/>
  <c r="E1790" i="37" s="1"/>
  <c r="E1763" i="37"/>
  <c r="C1773" i="37"/>
  <c r="E1769" i="37"/>
  <c r="C1779" i="37"/>
  <c r="E627" i="37"/>
  <c r="C637" i="37"/>
  <c r="E637" i="37" s="1"/>
  <c r="E2328" i="37"/>
  <c r="C2338" i="37"/>
  <c r="E2338" i="37" s="1"/>
  <c r="E2332" i="37"/>
  <c r="C2342" i="37"/>
  <c r="E2342" i="37" s="1"/>
  <c r="E2331" i="37"/>
  <c r="C2341" i="37"/>
  <c r="E2341" i="37" s="1"/>
  <c r="E1782" i="37"/>
  <c r="C1792" i="37"/>
  <c r="E1792" i="37" s="1"/>
  <c r="E1213" i="37"/>
  <c r="C1223" i="37"/>
  <c r="E1291" i="37"/>
  <c r="D1292" i="37"/>
  <c r="E1292" i="37" s="1"/>
  <c r="E2319" i="37"/>
  <c r="C2329" i="37"/>
  <c r="E626" i="37"/>
  <c r="C636" i="37"/>
  <c r="E636" i="37" s="1"/>
  <c r="E623" i="37"/>
  <c r="C633" i="37"/>
  <c r="E633" i="37" s="1"/>
  <c r="E631" i="37"/>
  <c r="C641" i="37"/>
  <c r="E641" i="37" s="1"/>
  <c r="E1228" i="37"/>
  <c r="C1238" i="37"/>
  <c r="E1238" i="37" s="1"/>
  <c r="E1231" i="37" l="1"/>
  <c r="C1241" i="37"/>
  <c r="E1241" i="37" s="1"/>
  <c r="E2329" i="37"/>
  <c r="C2339" i="37"/>
  <c r="E2339" i="37" s="1"/>
  <c r="E2325" i="37"/>
  <c r="C2335" i="37"/>
  <c r="E2335" i="37" s="1"/>
  <c r="E629" i="37"/>
  <c r="C639" i="37"/>
  <c r="E639" i="37" s="1"/>
  <c r="E1779" i="37"/>
  <c r="C1789" i="37"/>
  <c r="E1789" i="37" s="1"/>
  <c r="E625" i="37"/>
  <c r="C635" i="37"/>
  <c r="E635" i="37" s="1"/>
  <c r="E1773" i="37"/>
  <c r="C1783" i="37"/>
  <c r="E1783" i="37" s="1"/>
  <c r="E1774" i="37"/>
  <c r="C1784" i="37"/>
  <c r="E1784" i="37" s="1"/>
  <c r="E1223" i="37"/>
  <c r="C1233" i="37"/>
  <c r="E1233" i="37" s="1"/>
  <c r="E1781" i="37"/>
  <c r="C1791" i="37"/>
  <c r="E1791" i="37" s="1"/>
</calcChain>
</file>

<file path=xl/sharedStrings.xml><?xml version="1.0" encoding="utf-8"?>
<sst xmlns="http://schemas.openxmlformats.org/spreadsheetml/2006/main" count="2015" uniqueCount="181">
  <si>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</si>
  <si>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</si>
  <si>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</si>
  <si>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</si>
  <si>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</si>
  <si>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</si>
  <si>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</si>
  <si>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</si>
  <si>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</si>
  <si>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</si>
  <si>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</si>
  <si>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</si>
  <si>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</si>
  <si>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</si>
  <si>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</si>
  <si>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</si>
  <si>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</si>
  <si>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</si>
  <si>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</si>
  <si>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</si>
  <si>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</si>
  <si>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</si>
  <si>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</si>
  <si>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</si>
  <si>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</si>
  <si>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</si>
  <si>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</si>
  <si>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</si>
  <si>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</si>
  <si>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</si>
  <si>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</si>
  <si>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</si>
  <si>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</si>
  <si>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</si>
  <si>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</si>
  <si>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</si>
  <si>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</si>
  <si>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</si>
  <si>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</si>
  <si>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</si>
  <si>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</si>
  <si>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</si>
  <si>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</si>
  <si>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</si>
  <si>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</si>
  <si>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</si>
  <si>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</si>
  <si>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</si>
  <si>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</si>
  <si>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</si>
  <si>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</si>
  <si>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</si>
  <si>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</si>
  <si>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</si>
  <si>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</si>
  <si>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</si>
  <si>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</si>
  <si>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</si>
  <si>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</si>
  <si>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</si>
  <si>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</si>
  <si>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</si>
  <si>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</si>
  <si>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</si>
  <si>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</si>
  <si>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</si>
  <si>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</si>
  <si>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</si>
  <si>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</si>
  <si>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</si>
  <si>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</si>
  <si>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</si>
  <si>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</si>
  <si>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</si>
  <si>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</si>
  <si>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</si>
  <si>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</si>
  <si>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</si>
  <si>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</si>
  <si>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</si>
  <si>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</si>
  <si>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</si>
  <si>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</si>
  <si>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</si>
  <si>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</si>
  <si>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</si>
  <si>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</si>
  <si>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</si>
  <si>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</si>
  <si>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</si>
  <si>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</si>
  <si>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</si>
  <si>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</si>
  <si>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</si>
  <si>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</si>
  <si>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</si>
  <si>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</si>
  <si>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</si>
  <si>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</si>
  <si>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</si>
  <si>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</si>
  <si>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</si>
  <si>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</si>
  <si>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</si>
  <si>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</si>
  <si>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</si>
  <si>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</si>
  <si>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</si>
  <si>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</si>
  <si>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</si>
  <si>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</si>
  <si>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</si>
  <si>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</si>
  <si>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</si>
  <si>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</si>
  <si>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</si>
  <si>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</si>
  <si>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</si>
  <si>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</si>
  <si>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</si>
  <si>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</si>
  <si>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</si>
  <si>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Teller</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</si>
  <si>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</si>
  <si>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</si>
  <si>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</si>
  <si>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</si>
  <si>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</si>
  <si>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</si>
  <si>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</si>
  <si>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</si>
  <si>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</si>
  <si>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</si>
  <si>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</si>
  <si>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</si>
  <si>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</si>
  <si>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</si>
  <si>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</si>
  <si>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</si>
  <si>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</si>
  <si>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</si>
  <si>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</si>
  <si>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</si>
  <si>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</si>
  <si>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</si>
  <si>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</si>
  <si>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</si>
  <si>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</si>
  <si>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</si>
  <si>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</si>
  <si>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</si>
  <si>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</si>
  <si>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</si>
  <si>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</si>
  <si>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</si>
  <si>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</si>
  <si>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</si>
  <si>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</si>
  <si>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</si>
  <si>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Truck</t>
  </si>
  <si>
    <t>Storage</t>
  </si>
  <si>
    <t>Purchase</t>
  </si>
  <si>
    <t>Exit</t>
  </si>
  <si>
    <t>Simulation Numbers</t>
  </si>
  <si>
    <t>Overall</t>
  </si>
  <si>
    <t>Means</t>
  </si>
  <si>
    <t>Entrance(s)</t>
  </si>
  <si>
    <t>Objects entering process</t>
  </si>
  <si>
    <t>Objects unable to enter</t>
  </si>
  <si>
    <t>Service level</t>
  </si>
  <si>
    <t>Buffer(s)</t>
  </si>
  <si>
    <t>Objects leaving</t>
  </si>
  <si>
    <t>Final inventory</t>
  </si>
  <si>
    <t>Minimum inventory</t>
  </si>
  <si>
    <t>Maximum inventory</t>
  </si>
  <si>
    <t>Mean inventory</t>
  </si>
  <si>
    <t>Mean cycle time</t>
  </si>
  <si>
    <t>Exit(s)</t>
  </si>
  <si>
    <t>Objects leaving process</t>
  </si>
  <si>
    <t>Object departures missed</t>
  </si>
  <si>
    <t>Exp(0.25)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</si>
</sst>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81">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2" fontId="0" fillId="0" borderId="0" xfId="0" applyNumberFormat="1"/>
    <xf numFmtId="0" fontId="5" fillId="0" borderId="10" xfId="0" applyFont="1" applyFill="1" applyBorder="1"/>
    <xf numFmtId="0" fontId="0" fillId="0" borderId="10" xfId="0" applyFill="1" applyBorder="1"/>
    <xf numFmtId="2" fontId="0" fillId="0" borderId="10" xfId="0" applyNumberFormat="1" applyFill="1" applyBorder="1"/>
    <xf numFmtId="0" fontId="0" fillId="0" borderId="1" xfId="0" applyFill="1" applyBorder="1"/>
    <xf numFmtId="0" fontId="0" fillId="0" borderId="2" xfId="0" applyFill="1" applyBorder="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74"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6"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20"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21"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8"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126</v>
      </c>
      <c r="C4" s="135"/>
      <c r="D4" s="135"/>
      <c r="E4" s="135"/>
      <c r="F4" s="136"/>
      <c r="G4" s="153" t="s">
        <v>127</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C2" sqref="C2"/>
    </sheetView>
  </sheetViews>
  <sheetFormatPr defaultRowHeight="12.75" x14ac:dyDescent="0.2"/>
  <cols>
    <col min="1" max="1" width="8.28515625" style="89" customWidth="1"/>
    <col min="2" max="2" width="27" style="89" bestFit="1" customWidth="1"/>
    <col min="3" max="3" width="14.42578125" style="89" bestFit="1" customWidth="1"/>
    <col min="4" max="4" width="9.710937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140</v>
      </c>
      <c r="C6" s="18"/>
      <c r="D6"/>
      <c r="E6"/>
      <c r="F6"/>
      <c r="G6"/>
      <c r="H6"/>
      <c r="I6"/>
      <c r="J6"/>
    </row>
    <row r="7" spans="1:10" ht="13.5" thickBot="1" x14ac:dyDescent="0.25">
      <c r="A7"/>
      <c r="B7" s="168" t="s">
        <v>141</v>
      </c>
      <c r="C7" s="18"/>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c r="C10"/>
      <c r="D10"/>
      <c r="E10"/>
      <c r="F10"/>
      <c r="G10"/>
      <c r="H10"/>
      <c r="I10"/>
      <c r="J10"/>
    </row>
    <row r="11" spans="1:10" x14ac:dyDescent="0.2">
      <c r="A11"/>
      <c r="B11"/>
      <c r="C11"/>
      <c r="D11"/>
      <c r="E11"/>
      <c r="F11"/>
      <c r="G11"/>
      <c r="H11"/>
      <c r="I11"/>
      <c r="J11"/>
    </row>
    <row r="12" spans="1:10" x14ac:dyDescent="0.2">
      <c r="A12"/>
      <c r="B12"/>
      <c r="C12"/>
      <c r="D12"/>
      <c r="E12"/>
      <c r="F12"/>
      <c r="G12"/>
      <c r="H12"/>
      <c r="I12"/>
      <c r="J12"/>
    </row>
    <row r="13" spans="1:10" x14ac:dyDescent="0.2">
      <c r="A13"/>
      <c r="B13"/>
      <c r="C13"/>
      <c r="D13"/>
      <c r="E13"/>
      <c r="F13"/>
      <c r="G13"/>
      <c r="H13"/>
      <c r="I13"/>
      <c r="J13"/>
    </row>
    <row r="14" spans="1:10" x14ac:dyDescent="0.2">
      <c r="A14"/>
      <c r="B14"/>
      <c r="C14"/>
      <c r="D14"/>
      <c r="E14"/>
      <c r="F14"/>
      <c r="G14"/>
      <c r="H14"/>
      <c r="I14"/>
      <c r="J14"/>
    </row>
    <row r="15" spans="1:10" x14ac:dyDescent="0.2">
      <c r="A15"/>
      <c r="B15"/>
      <c r="C15"/>
      <c r="D15"/>
      <c r="E15"/>
      <c r="F15"/>
      <c r="G15"/>
      <c r="H15"/>
      <c r="I15"/>
      <c r="J15"/>
    </row>
    <row r="16" spans="1:10" x14ac:dyDescent="0.2">
      <c r="A16"/>
      <c r="B16"/>
      <c r="C16"/>
      <c r="D16"/>
      <c r="E16"/>
      <c r="F16"/>
      <c r="G16"/>
      <c r="H16"/>
      <c r="I16"/>
      <c r="J16"/>
    </row>
    <row r="17" spans="1:10" x14ac:dyDescent="0.2">
      <c r="A17"/>
      <c r="B17"/>
      <c r="C17"/>
      <c r="D17"/>
      <c r="E17"/>
      <c r="F17"/>
      <c r="G17"/>
      <c r="H17"/>
      <c r="I17"/>
      <c r="J17"/>
    </row>
    <row r="18" spans="1:10" x14ac:dyDescent="0.2">
      <c r="A18"/>
      <c r="B18"/>
      <c r="C18"/>
      <c r="D18"/>
      <c r="E18"/>
      <c r="F18"/>
      <c r="G18"/>
      <c r="H18"/>
      <c r="I18"/>
      <c r="J18"/>
    </row>
    <row r="19" spans="1:10" x14ac:dyDescent="0.2">
      <c r="A19"/>
      <c r="B19"/>
      <c r="C19"/>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c r="C22"/>
      <c r="D22"/>
      <c r="E22"/>
      <c r="F22"/>
      <c r="G22"/>
      <c r="H22"/>
      <c r="I22"/>
      <c r="J22"/>
    </row>
    <row r="23" spans="1:10" x14ac:dyDescent="0.2">
      <c r="A23"/>
      <c r="B23"/>
      <c r="C23"/>
      <c r="D23"/>
      <c r="E23"/>
      <c r="F23"/>
      <c r="G23"/>
      <c r="H23"/>
      <c r="I23"/>
      <c r="J23"/>
    </row>
    <row r="24" spans="1:10" x14ac:dyDescent="0.2">
      <c r="A24"/>
      <c r="B24"/>
      <c r="C24"/>
      <c r="D24"/>
      <c r="E24"/>
      <c r="F24"/>
      <c r="G24"/>
      <c r="H24"/>
      <c r="I24"/>
      <c r="J24"/>
    </row>
    <row r="25" spans="1:10" x14ac:dyDescent="0.2">
      <c r="A25"/>
      <c r="B25"/>
      <c r="C25"/>
      <c r="D25"/>
      <c r="E25"/>
      <c r="F25"/>
      <c r="G25"/>
      <c r="H25"/>
      <c r="I25"/>
      <c r="J25"/>
    </row>
    <row r="26" spans="1:10" x14ac:dyDescent="0.2">
      <c r="A26"/>
      <c r="B26"/>
      <c r="C26"/>
      <c r="D26"/>
      <c r="E26"/>
      <c r="F26"/>
      <c r="G26"/>
      <c r="H26"/>
      <c r="I26"/>
      <c r="J26"/>
    </row>
    <row r="27" spans="1:10" x14ac:dyDescent="0.2">
      <c r="A27"/>
      <c r="B27"/>
      <c r="C27"/>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c r="C30"/>
      <c r="D30"/>
      <c r="E30"/>
      <c r="F30"/>
      <c r="G30"/>
      <c r="H30"/>
      <c r="I30"/>
      <c r="J30"/>
    </row>
    <row r="31" spans="1:10" x14ac:dyDescent="0.2">
      <c r="A31"/>
      <c r="B31"/>
      <c r="C31"/>
      <c r="D31"/>
      <c r="E31"/>
      <c r="F31"/>
      <c r="G31"/>
      <c r="H31"/>
      <c r="I31"/>
      <c r="J31"/>
    </row>
    <row r="32" spans="1:10" x14ac:dyDescent="0.2">
      <c r="A32"/>
      <c r="B32"/>
      <c r="C32"/>
      <c r="D32"/>
      <c r="E32"/>
      <c r="F32"/>
      <c r="G32"/>
      <c r="H32"/>
      <c r="I32"/>
      <c r="J32"/>
    </row>
    <row r="33" spans="1:10" x14ac:dyDescent="0.2">
      <c r="A33"/>
      <c r="B33"/>
      <c r="C33"/>
      <c r="D33"/>
      <c r="E33"/>
      <c r="F33"/>
      <c r="G33"/>
      <c r="H33"/>
      <c r="I33"/>
      <c r="J33"/>
    </row>
    <row r="34" spans="1:10" x14ac:dyDescent="0.2">
      <c r="A34"/>
      <c r="B34"/>
      <c r="C34"/>
      <c r="D34"/>
      <c r="E34"/>
      <c r="F34"/>
      <c r="G34"/>
      <c r="H34"/>
      <c r="I34"/>
      <c r="J34"/>
    </row>
    <row r="35" spans="1:10" x14ac:dyDescent="0.2">
      <c r="A35"/>
      <c r="B35"/>
      <c r="C35"/>
      <c r="D35"/>
      <c r="E35"/>
      <c r="F35"/>
      <c r="G35"/>
      <c r="H35"/>
      <c r="I35"/>
      <c r="J35"/>
    </row>
    <row r="36" spans="1:10" x14ac:dyDescent="0.2">
      <c r="A36"/>
      <c r="B36"/>
      <c r="C36"/>
      <c r="D36"/>
      <c r="E36"/>
      <c r="F36"/>
      <c r="G36"/>
      <c r="H36"/>
      <c r="I36"/>
      <c r="J36"/>
    </row>
    <row r="37" spans="1:10" x14ac:dyDescent="0.2">
      <c r="A37"/>
      <c r="B37"/>
      <c r="C37"/>
      <c r="D37"/>
      <c r="E37"/>
      <c r="F37"/>
      <c r="G37"/>
      <c r="H37"/>
      <c r="I37"/>
      <c r="J37"/>
    </row>
    <row r="38" spans="1:10" x14ac:dyDescent="0.2">
      <c r="A38"/>
      <c r="B38"/>
      <c r="C38"/>
      <c r="D38"/>
      <c r="E38"/>
      <c r="F38"/>
      <c r="G38"/>
      <c r="H38"/>
      <c r="I38"/>
      <c r="J38"/>
    </row>
    <row r="39" spans="1:10" x14ac:dyDescent="0.2">
      <c r="A39"/>
      <c r="B39"/>
      <c r="C39"/>
      <c r="D39"/>
      <c r="E39"/>
      <c r="F39"/>
      <c r="G39"/>
      <c r="H39"/>
      <c r="I39"/>
      <c r="J39"/>
    </row>
    <row r="40" spans="1:10" x14ac:dyDescent="0.2">
      <c r="A40"/>
      <c r="B40"/>
      <c r="C40"/>
      <c r="D40"/>
      <c r="E40"/>
      <c r="F40"/>
      <c r="G40"/>
      <c r="H40"/>
      <c r="I40"/>
      <c r="J40"/>
    </row>
    <row r="41" spans="1:10" x14ac:dyDescent="0.2">
      <c r="A41"/>
      <c r="B41"/>
      <c r="C41"/>
      <c r="D41"/>
      <c r="E41"/>
      <c r="F41"/>
      <c r="G41"/>
      <c r="H41"/>
      <c r="I41"/>
      <c r="J41"/>
    </row>
    <row r="42" spans="1:10" x14ac:dyDescent="0.2">
      <c r="A42"/>
      <c r="B42"/>
      <c r="C42"/>
      <c r="D42"/>
      <c r="E42"/>
      <c r="F42"/>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8">
    <dataValidation type="list" allowBlank="1" sqref="F13 E18:E19 C20 F20 C13 B18:B19 D25 B29:B30 F36 C36 E41:E42 B41:B42">
      <formula1>NameLabelRange</formula1>
    </dataValidation>
    <dataValidation type="list" allowBlank="1" sqref="F14 C14">
      <formula1>DistributionsEntsExits</formula1>
    </dataValidation>
    <dataValidation type="list" allowBlank="1" sqref="F15 C15">
      <formula1>DistributionsEntsExitObjPerArrDep</formula1>
    </dataValidation>
    <dataValidation type="list" allowBlank="1" sqref="F21 C21 F37 C37">
      <formula1>DistributionsBufferCap</formula1>
    </dataValidation>
    <dataValidation type="list" allowBlank="1" sqref="F22 C22 F38 C38">
      <formula1>DistributionsBuffersInitialObjects</formula1>
    </dataValidation>
    <dataValidation type="list" allowBlank="1" sqref="F25:F26 C29:C30 F41:F42 C41:C42">
      <formula1>WSNumOutputObjects</formula1>
    </dataValidation>
    <dataValidation type="list" allowBlank="1" sqref="D26">
      <formula1>DistributionsWorkStations</formula1>
    </dataValidation>
    <dataValidation type="list" allowBlank="1" sqref="D29:D30">
      <formula1>Resources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workbookViewId="0">
      <selection activeCell="E17" sqref="E17"/>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158</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140</v>
      </c>
      <c r="C15" s="16"/>
      <c r="D15" s="17"/>
      <c r="E15" s="18">
        <v>360</v>
      </c>
      <c r="F15" s="93"/>
      <c r="G15" s="94"/>
      <c r="H15" s="95"/>
      <c r="I15" s="3"/>
      <c r="J15" s="3"/>
      <c r="K15" s="3"/>
      <c r="L15" s="3"/>
      <c r="M15" s="3"/>
      <c r="N15" s="3"/>
    </row>
    <row r="16" spans="1:14" ht="13.5" thickBot="1" x14ac:dyDescent="0.25">
      <c r="A16" s="3"/>
      <c r="B16" s="168" t="s">
        <v>141</v>
      </c>
      <c r="C16" s="16"/>
      <c r="D16" s="17"/>
      <c r="E16" s="18">
        <v>30</v>
      </c>
      <c r="F16" s="96" t="s">
        <v>138</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142</v>
      </c>
      <c r="C7" s="124" t="s">
        <v>159</v>
      </c>
      <c r="D7" s="3"/>
      <c r="E7" s="169" t="s">
        <v>142</v>
      </c>
      <c r="F7" s="124"/>
      <c r="G7" s="3"/>
      <c r="H7" s="169" t="s">
        <v>142</v>
      </c>
      <c r="I7" s="124"/>
      <c r="J7" s="3"/>
      <c r="K7" s="169" t="s">
        <v>142</v>
      </c>
      <c r="L7" s="104"/>
      <c r="M7" s="3"/>
      <c r="N7" s="169" t="s">
        <v>142</v>
      </c>
      <c r="O7" s="124"/>
      <c r="P7" s="3"/>
      <c r="Q7" s="169" t="s">
        <v>142</v>
      </c>
      <c r="R7" s="124"/>
      <c r="S7" s="3"/>
      <c r="T7" s="169" t="s">
        <v>142</v>
      </c>
      <c r="U7" s="124"/>
      <c r="V7" s="3"/>
      <c r="W7" s="169" t="s">
        <v>142</v>
      </c>
      <c r="X7" s="104"/>
      <c r="Y7" s="3"/>
      <c r="Z7" s="169" t="s">
        <v>142</v>
      </c>
      <c r="AA7" s="124"/>
      <c r="AB7" s="3"/>
      <c r="AC7" s="169" t="s">
        <v>142</v>
      </c>
      <c r="AD7" s="124"/>
      <c r="AE7" s="3"/>
      <c r="AF7" s="169" t="s">
        <v>142</v>
      </c>
      <c r="AG7" s="124"/>
      <c r="AH7" s="3"/>
      <c r="AI7" s="169" t="s">
        <v>142</v>
      </c>
      <c r="AJ7" s="104"/>
      <c r="AK7" s="3"/>
      <c r="AL7" s="169" t="s">
        <v>142</v>
      </c>
      <c r="AM7" s="124"/>
      <c r="AN7" s="3"/>
      <c r="AO7" s="169" t="s">
        <v>142</v>
      </c>
      <c r="AP7" s="124"/>
      <c r="AQ7" s="3"/>
      <c r="AR7" s="169" t="s">
        <v>142</v>
      </c>
      <c r="AS7" s="124"/>
      <c r="AT7" s="3"/>
      <c r="AU7" s="169" t="s">
        <v>142</v>
      </c>
      <c r="AV7" s="104"/>
      <c r="AW7" s="3"/>
      <c r="AX7" s="169" t="s">
        <v>142</v>
      </c>
      <c r="AY7" s="124"/>
      <c r="AZ7" s="3"/>
      <c r="BA7" s="169" t="s">
        <v>142</v>
      </c>
      <c r="BB7" s="124"/>
      <c r="BC7" s="3"/>
      <c r="BD7" s="169" t="s">
        <v>142</v>
      </c>
      <c r="BE7" s="124"/>
      <c r="BF7" s="3"/>
      <c r="BG7" s="169" t="s">
        <v>142</v>
      </c>
      <c r="BH7" s="104"/>
      <c r="BI7" s="3"/>
      <c r="BJ7" s="169" t="s">
        <v>142</v>
      </c>
      <c r="BK7" s="124"/>
      <c r="BL7" s="3"/>
      <c r="BM7" s="169" t="s">
        <v>142</v>
      </c>
      <c r="BN7" s="124"/>
      <c r="BO7" s="3"/>
      <c r="BP7" s="169" t="s">
        <v>142</v>
      </c>
      <c r="BQ7" s="124"/>
      <c r="BR7" s="3"/>
      <c r="BS7" s="169" t="s">
        <v>142</v>
      </c>
      <c r="BT7" s="104"/>
      <c r="BU7" s="3"/>
      <c r="BV7" s="169" t="s">
        <v>142</v>
      </c>
      <c r="BW7" s="124"/>
      <c r="BX7" s="3"/>
      <c r="BY7" s="169" t="s">
        <v>142</v>
      </c>
      <c r="BZ7" s="124"/>
      <c r="CA7" s="3"/>
      <c r="CB7" s="169" t="s">
        <v>142</v>
      </c>
      <c r="CC7" s="124"/>
      <c r="CD7" s="3"/>
      <c r="CE7" s="169" t="s">
        <v>142</v>
      </c>
      <c r="CF7" s="104"/>
      <c r="CG7" s="3"/>
      <c r="CH7" s="169" t="s">
        <v>142</v>
      </c>
      <c r="CI7" s="124"/>
      <c r="CJ7" s="3"/>
      <c r="CK7" s="169" t="s">
        <v>142</v>
      </c>
      <c r="CL7" s="124"/>
      <c r="CM7" s="3"/>
      <c r="CN7" s="169" t="s">
        <v>142</v>
      </c>
      <c r="CO7" s="124"/>
      <c r="CP7" s="3"/>
      <c r="CQ7" s="169" t="s">
        <v>142</v>
      </c>
      <c r="CR7" s="104"/>
      <c r="CS7" s="3"/>
      <c r="CT7" s="169" t="s">
        <v>142</v>
      </c>
      <c r="CU7" s="124"/>
      <c r="CV7" s="3"/>
      <c r="CW7" s="169" t="s">
        <v>142</v>
      </c>
      <c r="CX7" s="104"/>
      <c r="CY7" s="3"/>
      <c r="CZ7" s="169" t="s">
        <v>142</v>
      </c>
      <c r="DA7" s="124"/>
      <c r="DB7" s="3"/>
      <c r="DC7" s="169" t="s">
        <v>142</v>
      </c>
      <c r="DD7" s="124"/>
      <c r="DE7" s="3"/>
      <c r="DF7" s="169" t="s">
        <v>142</v>
      </c>
      <c r="DG7" s="124"/>
      <c r="DH7" s="3"/>
      <c r="DI7" s="169" t="s">
        <v>142</v>
      </c>
      <c r="DJ7" s="104"/>
      <c r="DK7" s="3"/>
      <c r="DL7" s="169" t="s">
        <v>142</v>
      </c>
      <c r="DM7" s="124"/>
      <c r="DN7" s="3"/>
      <c r="DO7" s="169" t="s">
        <v>142</v>
      </c>
      <c r="DP7" s="124"/>
      <c r="DQ7" s="3"/>
      <c r="DR7" s="169" t="s">
        <v>142</v>
      </c>
      <c r="DS7" s="124"/>
      <c r="DT7" s="3"/>
      <c r="DU7" s="169" t="s">
        <v>142</v>
      </c>
      <c r="DV7" s="104"/>
      <c r="DW7" s="3"/>
      <c r="DX7" s="169" t="s">
        <v>142</v>
      </c>
      <c r="DY7" s="124"/>
      <c r="DZ7" s="3"/>
      <c r="EA7" s="169" t="s">
        <v>142</v>
      </c>
      <c r="EB7" s="124"/>
      <c r="EC7" s="3"/>
      <c r="ED7" s="169" t="s">
        <v>142</v>
      </c>
      <c r="EE7" s="124"/>
      <c r="EF7" s="3"/>
      <c r="EG7" s="169" t="s">
        <v>142</v>
      </c>
      <c r="EH7" s="104"/>
      <c r="EI7" s="3"/>
      <c r="EJ7" s="169" t="s">
        <v>142</v>
      </c>
      <c r="EK7" s="124"/>
      <c r="EL7" s="3"/>
      <c r="EM7" s="169" t="s">
        <v>142</v>
      </c>
      <c r="EN7" s="124"/>
      <c r="EO7" s="3"/>
      <c r="EP7" s="169" t="s">
        <v>142</v>
      </c>
      <c r="EQ7" s="124"/>
      <c r="ER7" s="3"/>
      <c r="ES7" s="169" t="s">
        <v>142</v>
      </c>
      <c r="ET7" s="104"/>
      <c r="EU7" s="3"/>
    </row>
    <row r="8" spans="1:151" x14ac:dyDescent="0.2">
      <c r="A8" s="3"/>
      <c r="B8" s="170" t="s">
        <v>143</v>
      </c>
      <c r="C8" s="116">
        <v>24</v>
      </c>
      <c r="D8" s="3"/>
      <c r="E8" s="170" t="s">
        <v>143</v>
      </c>
      <c r="F8" s="116"/>
      <c r="G8" s="3"/>
      <c r="H8" s="170" t="s">
        <v>143</v>
      </c>
      <c r="I8" s="116"/>
      <c r="J8" s="3"/>
      <c r="K8" s="170" t="s">
        <v>143</v>
      </c>
      <c r="L8" s="116"/>
      <c r="M8" s="3"/>
      <c r="N8" s="170" t="s">
        <v>143</v>
      </c>
      <c r="O8" s="116"/>
      <c r="P8" s="3"/>
      <c r="Q8" s="170" t="s">
        <v>143</v>
      </c>
      <c r="R8" s="116"/>
      <c r="S8" s="3"/>
      <c r="T8" s="170" t="s">
        <v>143</v>
      </c>
      <c r="U8" s="116"/>
      <c r="V8" s="3"/>
      <c r="W8" s="170" t="s">
        <v>143</v>
      </c>
      <c r="X8" s="116"/>
      <c r="Y8" s="3"/>
      <c r="Z8" s="170" t="s">
        <v>143</v>
      </c>
      <c r="AA8" s="116"/>
      <c r="AB8" s="3"/>
      <c r="AC8" s="170" t="s">
        <v>143</v>
      </c>
      <c r="AD8" s="116"/>
      <c r="AE8" s="3"/>
      <c r="AF8" s="170" t="s">
        <v>143</v>
      </c>
      <c r="AG8" s="116"/>
      <c r="AH8" s="3"/>
      <c r="AI8" s="170" t="s">
        <v>143</v>
      </c>
      <c r="AJ8" s="116"/>
      <c r="AK8" s="3"/>
      <c r="AL8" s="170" t="s">
        <v>143</v>
      </c>
      <c r="AM8" s="116"/>
      <c r="AN8" s="3"/>
      <c r="AO8" s="170" t="s">
        <v>143</v>
      </c>
      <c r="AP8" s="116"/>
      <c r="AQ8" s="3"/>
      <c r="AR8" s="170" t="s">
        <v>143</v>
      </c>
      <c r="AS8" s="116"/>
      <c r="AT8" s="3"/>
      <c r="AU8" s="170" t="s">
        <v>143</v>
      </c>
      <c r="AV8" s="116"/>
      <c r="AW8" s="3"/>
      <c r="AX8" s="170" t="s">
        <v>143</v>
      </c>
      <c r="AY8" s="116"/>
      <c r="AZ8" s="3"/>
      <c r="BA8" s="170" t="s">
        <v>143</v>
      </c>
      <c r="BB8" s="116"/>
      <c r="BC8" s="3"/>
      <c r="BD8" s="170" t="s">
        <v>143</v>
      </c>
      <c r="BE8" s="116"/>
      <c r="BF8" s="3"/>
      <c r="BG8" s="170" t="s">
        <v>143</v>
      </c>
      <c r="BH8" s="116"/>
      <c r="BI8" s="3"/>
      <c r="BJ8" s="170" t="s">
        <v>143</v>
      </c>
      <c r="BK8" s="116"/>
      <c r="BL8" s="3"/>
      <c r="BM8" s="170" t="s">
        <v>143</v>
      </c>
      <c r="BN8" s="116"/>
      <c r="BO8" s="3"/>
      <c r="BP8" s="170" t="s">
        <v>143</v>
      </c>
      <c r="BQ8" s="116"/>
      <c r="BR8" s="3"/>
      <c r="BS8" s="170" t="s">
        <v>143</v>
      </c>
      <c r="BT8" s="116"/>
      <c r="BU8" s="3"/>
      <c r="BV8" s="170" t="s">
        <v>143</v>
      </c>
      <c r="BW8" s="116"/>
      <c r="BX8" s="3"/>
      <c r="BY8" s="170" t="s">
        <v>143</v>
      </c>
      <c r="BZ8" s="116"/>
      <c r="CA8" s="3"/>
      <c r="CB8" s="170" t="s">
        <v>143</v>
      </c>
      <c r="CC8" s="116"/>
      <c r="CD8" s="3"/>
      <c r="CE8" s="170" t="s">
        <v>143</v>
      </c>
      <c r="CF8" s="116"/>
      <c r="CG8" s="3"/>
      <c r="CH8" s="170" t="s">
        <v>143</v>
      </c>
      <c r="CI8" s="116"/>
      <c r="CJ8" s="3"/>
      <c r="CK8" s="170" t="s">
        <v>143</v>
      </c>
      <c r="CL8" s="116"/>
      <c r="CM8" s="3"/>
      <c r="CN8" s="170" t="s">
        <v>143</v>
      </c>
      <c r="CO8" s="116"/>
      <c r="CP8" s="3"/>
      <c r="CQ8" s="170" t="s">
        <v>143</v>
      </c>
      <c r="CR8" s="116"/>
      <c r="CS8" s="3"/>
      <c r="CT8" s="170" t="s">
        <v>143</v>
      </c>
      <c r="CU8" s="116"/>
      <c r="CV8" s="3"/>
      <c r="CW8" s="170" t="s">
        <v>143</v>
      </c>
      <c r="CX8" s="116"/>
      <c r="CY8" s="3"/>
      <c r="CZ8" s="170" t="s">
        <v>143</v>
      </c>
      <c r="DA8" s="116"/>
      <c r="DB8" s="3"/>
      <c r="DC8" s="170" t="s">
        <v>143</v>
      </c>
      <c r="DD8" s="116"/>
      <c r="DE8" s="3"/>
      <c r="DF8" s="170" t="s">
        <v>143</v>
      </c>
      <c r="DG8" s="116"/>
      <c r="DH8" s="3"/>
      <c r="DI8" s="170" t="s">
        <v>143</v>
      </c>
      <c r="DJ8" s="116"/>
      <c r="DK8" s="3"/>
      <c r="DL8" s="170" t="s">
        <v>143</v>
      </c>
      <c r="DM8" s="116"/>
      <c r="DN8" s="3"/>
      <c r="DO8" s="170" t="s">
        <v>143</v>
      </c>
      <c r="DP8" s="116"/>
      <c r="DQ8" s="3"/>
      <c r="DR8" s="170" t="s">
        <v>143</v>
      </c>
      <c r="DS8" s="116"/>
      <c r="DT8" s="3"/>
      <c r="DU8" s="170" t="s">
        <v>143</v>
      </c>
      <c r="DV8" s="116"/>
      <c r="DW8" s="3"/>
      <c r="DX8" s="170" t="s">
        <v>143</v>
      </c>
      <c r="DY8" s="116"/>
      <c r="DZ8" s="3"/>
      <c r="EA8" s="170" t="s">
        <v>143</v>
      </c>
      <c r="EB8" s="116"/>
      <c r="EC8" s="3"/>
      <c r="ED8" s="170" t="s">
        <v>143</v>
      </c>
      <c r="EE8" s="116"/>
      <c r="EF8" s="3"/>
      <c r="EG8" s="170" t="s">
        <v>143</v>
      </c>
      <c r="EH8" s="116"/>
      <c r="EI8" s="3"/>
      <c r="EJ8" s="170" t="s">
        <v>143</v>
      </c>
      <c r="EK8" s="116"/>
      <c r="EL8" s="3"/>
      <c r="EM8" s="170" t="s">
        <v>143</v>
      </c>
      <c r="EN8" s="116"/>
      <c r="EO8" s="3"/>
      <c r="EP8" s="170" t="s">
        <v>143</v>
      </c>
      <c r="EQ8" s="116"/>
      <c r="ER8" s="3"/>
      <c r="ES8" s="170" t="s">
        <v>143</v>
      </c>
      <c r="ET8" s="116"/>
      <c r="EU8" s="3"/>
    </row>
    <row r="9" spans="1:151" ht="13.5" thickBot="1" x14ac:dyDescent="0.25">
      <c r="A9" s="3"/>
      <c r="B9" s="171" t="s">
        <v>144</v>
      </c>
      <c r="C9" s="37">
        <v>200</v>
      </c>
      <c r="D9" s="3"/>
      <c r="E9" s="171" t="s">
        <v>144</v>
      </c>
      <c r="F9" s="37"/>
      <c r="G9" s="3"/>
      <c r="H9" s="171" t="s">
        <v>144</v>
      </c>
      <c r="I9" s="37"/>
      <c r="J9" s="3"/>
      <c r="K9" s="171" t="s">
        <v>144</v>
      </c>
      <c r="L9" s="37"/>
      <c r="M9" s="3"/>
      <c r="N9" s="171" t="s">
        <v>144</v>
      </c>
      <c r="O9" s="37"/>
      <c r="P9" s="3"/>
      <c r="Q9" s="171" t="s">
        <v>144</v>
      </c>
      <c r="R9" s="37"/>
      <c r="S9" s="3"/>
      <c r="T9" s="171" t="s">
        <v>144</v>
      </c>
      <c r="U9" s="37"/>
      <c r="V9" s="3"/>
      <c r="W9" s="171" t="s">
        <v>144</v>
      </c>
      <c r="X9" s="37"/>
      <c r="Y9" s="3"/>
      <c r="Z9" s="171" t="s">
        <v>144</v>
      </c>
      <c r="AA9" s="37"/>
      <c r="AB9" s="3"/>
      <c r="AC9" s="171" t="s">
        <v>144</v>
      </c>
      <c r="AD9" s="37"/>
      <c r="AE9" s="3"/>
      <c r="AF9" s="171" t="s">
        <v>144</v>
      </c>
      <c r="AG9" s="37"/>
      <c r="AH9" s="3"/>
      <c r="AI9" s="171" t="s">
        <v>144</v>
      </c>
      <c r="AJ9" s="37"/>
      <c r="AK9" s="3"/>
      <c r="AL9" s="171" t="s">
        <v>144</v>
      </c>
      <c r="AM9" s="37"/>
      <c r="AN9" s="3"/>
      <c r="AO9" s="171" t="s">
        <v>144</v>
      </c>
      <c r="AP9" s="37"/>
      <c r="AQ9" s="3"/>
      <c r="AR9" s="171" t="s">
        <v>144</v>
      </c>
      <c r="AS9" s="37"/>
      <c r="AT9" s="3"/>
      <c r="AU9" s="171" t="s">
        <v>144</v>
      </c>
      <c r="AV9" s="37"/>
      <c r="AW9" s="3"/>
      <c r="AX9" s="171" t="s">
        <v>144</v>
      </c>
      <c r="AY9" s="37"/>
      <c r="AZ9" s="3"/>
      <c r="BA9" s="171" t="s">
        <v>144</v>
      </c>
      <c r="BB9" s="37"/>
      <c r="BC9" s="3"/>
      <c r="BD9" s="171" t="s">
        <v>144</v>
      </c>
      <c r="BE9" s="37"/>
      <c r="BF9" s="3"/>
      <c r="BG9" s="171" t="s">
        <v>144</v>
      </c>
      <c r="BH9" s="37"/>
      <c r="BI9" s="3"/>
      <c r="BJ9" s="171" t="s">
        <v>144</v>
      </c>
      <c r="BK9" s="37"/>
      <c r="BL9" s="3"/>
      <c r="BM9" s="171" t="s">
        <v>144</v>
      </c>
      <c r="BN9" s="37"/>
      <c r="BO9" s="3"/>
      <c r="BP9" s="171" t="s">
        <v>144</v>
      </c>
      <c r="BQ9" s="37"/>
      <c r="BR9" s="3"/>
      <c r="BS9" s="171" t="s">
        <v>144</v>
      </c>
      <c r="BT9" s="37"/>
      <c r="BU9" s="3"/>
      <c r="BV9" s="171" t="s">
        <v>144</v>
      </c>
      <c r="BW9" s="37"/>
      <c r="BX9" s="3"/>
      <c r="BY9" s="171" t="s">
        <v>144</v>
      </c>
      <c r="BZ9" s="37"/>
      <c r="CA9" s="3"/>
      <c r="CB9" s="171" t="s">
        <v>144</v>
      </c>
      <c r="CC9" s="37"/>
      <c r="CD9" s="3"/>
      <c r="CE9" s="171" t="s">
        <v>144</v>
      </c>
      <c r="CF9" s="37"/>
      <c r="CG9" s="3"/>
      <c r="CH9" s="171" t="s">
        <v>144</v>
      </c>
      <c r="CI9" s="37"/>
      <c r="CJ9" s="3"/>
      <c r="CK9" s="171" t="s">
        <v>144</v>
      </c>
      <c r="CL9" s="37"/>
      <c r="CM9" s="3"/>
      <c r="CN9" s="171" t="s">
        <v>144</v>
      </c>
      <c r="CO9" s="37"/>
      <c r="CP9" s="3"/>
      <c r="CQ9" s="171" t="s">
        <v>144</v>
      </c>
      <c r="CR9" s="37"/>
      <c r="CS9" s="3"/>
      <c r="CT9" s="171" t="s">
        <v>144</v>
      </c>
      <c r="CU9" s="37"/>
      <c r="CV9" s="3"/>
      <c r="CW9" s="171" t="s">
        <v>144</v>
      </c>
      <c r="CX9" s="37"/>
      <c r="CY9" s="3"/>
      <c r="CZ9" s="171" t="s">
        <v>144</v>
      </c>
      <c r="DA9" s="37"/>
      <c r="DB9" s="3"/>
      <c r="DC9" s="171" t="s">
        <v>144</v>
      </c>
      <c r="DD9" s="37"/>
      <c r="DE9" s="3"/>
      <c r="DF9" s="171" t="s">
        <v>144</v>
      </c>
      <c r="DG9" s="37"/>
      <c r="DH9" s="3"/>
      <c r="DI9" s="171" t="s">
        <v>144</v>
      </c>
      <c r="DJ9" s="37"/>
      <c r="DK9" s="3"/>
      <c r="DL9" s="171" t="s">
        <v>144</v>
      </c>
      <c r="DM9" s="37"/>
      <c r="DN9" s="3"/>
      <c r="DO9" s="171" t="s">
        <v>144</v>
      </c>
      <c r="DP9" s="37"/>
      <c r="DQ9" s="3"/>
      <c r="DR9" s="171" t="s">
        <v>144</v>
      </c>
      <c r="DS9" s="37"/>
      <c r="DT9" s="3"/>
      <c r="DU9" s="171" t="s">
        <v>144</v>
      </c>
      <c r="DV9" s="37"/>
      <c r="DW9" s="3"/>
      <c r="DX9" s="171" t="s">
        <v>144</v>
      </c>
      <c r="DY9" s="37"/>
      <c r="DZ9" s="3"/>
      <c r="EA9" s="171" t="s">
        <v>144</v>
      </c>
      <c r="EB9" s="37"/>
      <c r="EC9" s="3"/>
      <c r="ED9" s="171" t="s">
        <v>144</v>
      </c>
      <c r="EE9" s="37"/>
      <c r="EF9" s="3"/>
      <c r="EG9" s="171" t="s">
        <v>144</v>
      </c>
      <c r="EH9" s="37"/>
      <c r="EI9" s="3"/>
      <c r="EJ9" s="171" t="s">
        <v>144</v>
      </c>
      <c r="EK9" s="37"/>
      <c r="EL9" s="3"/>
      <c r="EM9" s="171" t="s">
        <v>144</v>
      </c>
      <c r="EN9" s="37"/>
      <c r="EO9" s="3"/>
      <c r="EP9" s="171" t="s">
        <v>144</v>
      </c>
      <c r="EQ9" s="37"/>
      <c r="ER9" s="3"/>
      <c r="ES9" s="171" t="s">
        <v>144</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145</v>
      </c>
      <c r="C11" s="42"/>
      <c r="D11" s="3"/>
      <c r="E11" s="146" t="s">
        <v>145</v>
      </c>
      <c r="F11" s="42"/>
      <c r="G11" s="3"/>
      <c r="H11" s="146" t="s">
        <v>145</v>
      </c>
      <c r="I11" s="42"/>
      <c r="J11" s="3"/>
      <c r="K11" s="146" t="s">
        <v>145</v>
      </c>
      <c r="L11" s="42"/>
      <c r="M11" s="3"/>
      <c r="N11" s="146" t="s">
        <v>145</v>
      </c>
      <c r="O11" s="42"/>
      <c r="P11" s="3"/>
      <c r="Q11" s="146" t="s">
        <v>145</v>
      </c>
      <c r="R11" s="42"/>
      <c r="S11" s="3"/>
      <c r="T11" s="146" t="s">
        <v>145</v>
      </c>
      <c r="U11" s="42"/>
      <c r="V11" s="3"/>
      <c r="W11" s="146" t="s">
        <v>145</v>
      </c>
      <c r="X11" s="42"/>
      <c r="Y11" s="3"/>
      <c r="Z11" s="146" t="s">
        <v>145</v>
      </c>
      <c r="AA11" s="42"/>
      <c r="AB11" s="3"/>
      <c r="AC11" s="146" t="s">
        <v>145</v>
      </c>
      <c r="AD11" s="42"/>
      <c r="AE11" s="3"/>
      <c r="AF11" s="146" t="s">
        <v>145</v>
      </c>
      <c r="AG11" s="42"/>
      <c r="AH11" s="3"/>
      <c r="AI11" s="146" t="s">
        <v>145</v>
      </c>
      <c r="AJ11" s="42"/>
      <c r="AK11" s="3"/>
      <c r="AL11" s="146" t="s">
        <v>145</v>
      </c>
      <c r="AM11" s="42"/>
      <c r="AN11" s="3"/>
      <c r="AO11" s="146" t="s">
        <v>145</v>
      </c>
      <c r="AP11" s="42"/>
      <c r="AQ11" s="3"/>
      <c r="AR11" s="146" t="s">
        <v>145</v>
      </c>
      <c r="AS11" s="42"/>
      <c r="AT11" s="3"/>
      <c r="AU11" s="146" t="s">
        <v>145</v>
      </c>
      <c r="AV11" s="42"/>
      <c r="AW11" s="3"/>
      <c r="AX11" s="146" t="s">
        <v>145</v>
      </c>
      <c r="AY11" s="42"/>
      <c r="AZ11" s="3"/>
      <c r="BA11" s="146" t="s">
        <v>145</v>
      </c>
      <c r="BB11" s="42"/>
      <c r="BC11" s="3"/>
      <c r="BD11" s="146" t="s">
        <v>145</v>
      </c>
      <c r="BE11" s="42"/>
      <c r="BF11" s="3"/>
      <c r="BG11" s="146" t="s">
        <v>145</v>
      </c>
      <c r="BH11" s="42"/>
      <c r="BI11" s="3"/>
      <c r="BJ11" s="146" t="s">
        <v>145</v>
      </c>
      <c r="BK11" s="42"/>
      <c r="BL11" s="3"/>
      <c r="BM11" s="146" t="s">
        <v>145</v>
      </c>
      <c r="BN11" s="42"/>
      <c r="BO11" s="3"/>
      <c r="BP11" s="146" t="s">
        <v>145</v>
      </c>
      <c r="BQ11" s="42"/>
      <c r="BR11" s="3"/>
      <c r="BS11" s="146" t="s">
        <v>145</v>
      </c>
      <c r="BT11" s="42"/>
      <c r="BU11" s="3"/>
      <c r="BV11" s="146" t="s">
        <v>145</v>
      </c>
      <c r="BW11" s="42"/>
      <c r="BX11" s="3"/>
      <c r="BY11" s="146" t="s">
        <v>145</v>
      </c>
      <c r="BZ11" s="42"/>
      <c r="CA11" s="3"/>
      <c r="CB11" s="146" t="s">
        <v>145</v>
      </c>
      <c r="CC11" s="42"/>
      <c r="CD11" s="3"/>
      <c r="CE11" s="146" t="s">
        <v>145</v>
      </c>
      <c r="CF11" s="42"/>
      <c r="CG11" s="3"/>
      <c r="CH11" s="146" t="s">
        <v>145</v>
      </c>
      <c r="CI11" s="42"/>
      <c r="CJ11" s="3"/>
      <c r="CK11" s="146" t="s">
        <v>145</v>
      </c>
      <c r="CL11" s="42"/>
      <c r="CM11" s="3"/>
      <c r="CN11" s="146" t="s">
        <v>145</v>
      </c>
      <c r="CO11" s="42"/>
      <c r="CP11" s="3"/>
      <c r="CQ11" s="146" t="s">
        <v>145</v>
      </c>
      <c r="CR11" s="42"/>
      <c r="CS11" s="3"/>
      <c r="CT11" s="146" t="s">
        <v>145</v>
      </c>
      <c r="CU11" s="42"/>
      <c r="CV11" s="3"/>
      <c r="CW11" s="146" t="s">
        <v>145</v>
      </c>
      <c r="CX11" s="42"/>
      <c r="CY11" s="3"/>
      <c r="CZ11" s="146" t="s">
        <v>145</v>
      </c>
      <c r="DA11" s="42"/>
      <c r="DB11" s="3"/>
      <c r="DC11" s="146" t="s">
        <v>145</v>
      </c>
      <c r="DD11" s="42"/>
      <c r="DE11" s="3"/>
      <c r="DF11" s="146" t="s">
        <v>145</v>
      </c>
      <c r="DG11" s="42"/>
      <c r="DH11" s="3"/>
      <c r="DI11" s="146" t="s">
        <v>145</v>
      </c>
      <c r="DJ11" s="42"/>
      <c r="DK11" s="3"/>
      <c r="DL11" s="146" t="s">
        <v>145</v>
      </c>
      <c r="DM11" s="42"/>
      <c r="DN11" s="3"/>
      <c r="DO11" s="146" t="s">
        <v>145</v>
      </c>
      <c r="DP11" s="42"/>
      <c r="DQ11" s="3"/>
      <c r="DR11" s="146" t="s">
        <v>145</v>
      </c>
      <c r="DS11" s="42"/>
      <c r="DT11" s="3"/>
      <c r="DU11" s="146" t="s">
        <v>145</v>
      </c>
      <c r="DV11" s="42"/>
      <c r="DW11" s="3"/>
      <c r="DX11" s="146" t="s">
        <v>145</v>
      </c>
      <c r="DY11" s="42"/>
      <c r="DZ11" s="3"/>
      <c r="EA11" s="146" t="s">
        <v>145</v>
      </c>
      <c r="EB11" s="42"/>
      <c r="EC11" s="3"/>
      <c r="ED11" s="146" t="s">
        <v>145</v>
      </c>
      <c r="EE11" s="42"/>
      <c r="EF11" s="3"/>
      <c r="EG11" s="146" t="s">
        <v>145</v>
      </c>
      <c r="EH11" s="42"/>
      <c r="EI11" s="3"/>
      <c r="EJ11" s="146" t="s">
        <v>145</v>
      </c>
      <c r="EK11" s="42"/>
      <c r="EL11" s="3"/>
      <c r="EM11" s="146" t="s">
        <v>145</v>
      </c>
      <c r="EN11" s="42"/>
      <c r="EO11" s="3"/>
      <c r="EP11" s="146" t="s">
        <v>145</v>
      </c>
      <c r="EQ11" s="42"/>
      <c r="ER11" s="3"/>
      <c r="ES11" s="146" t="s">
        <v>145</v>
      </c>
      <c r="ET11" s="42"/>
      <c r="EU11" s="3"/>
    </row>
    <row r="12" spans="1:151" x14ac:dyDescent="0.2">
      <c r="A12" s="3"/>
      <c r="B12" s="108" t="s">
        <v>160</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B1" sqref="B1"/>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161</v>
      </c>
      <c r="D7" s="117"/>
      <c r="E7" s="118" t="s">
        <v>142</v>
      </c>
      <c r="F7" s="104"/>
      <c r="G7" s="117"/>
      <c r="H7" s="118" t="s">
        <v>142</v>
      </c>
      <c r="I7" s="104"/>
      <c r="J7" s="117"/>
      <c r="K7" s="118" t="s">
        <v>142</v>
      </c>
      <c r="L7" s="104"/>
      <c r="M7" s="117"/>
      <c r="N7" s="118" t="s">
        <v>142</v>
      </c>
      <c r="O7" s="104"/>
      <c r="P7" s="117"/>
      <c r="Q7" s="118" t="s">
        <v>142</v>
      </c>
      <c r="R7" s="104"/>
      <c r="S7" s="117"/>
      <c r="T7" s="118" t="s">
        <v>142</v>
      </c>
      <c r="U7" s="104"/>
      <c r="V7" s="117"/>
      <c r="W7" s="118" t="s">
        <v>142</v>
      </c>
      <c r="X7" s="104"/>
      <c r="Y7" s="117"/>
      <c r="Z7" s="118" t="s">
        <v>142</v>
      </c>
      <c r="AA7" s="104"/>
      <c r="AB7" s="117"/>
      <c r="AC7" s="118" t="s">
        <v>142</v>
      </c>
      <c r="AD7" s="104"/>
      <c r="AE7" s="117"/>
      <c r="AF7" s="118" t="s">
        <v>142</v>
      </c>
      <c r="AG7" s="104"/>
      <c r="AH7" s="117"/>
      <c r="AI7" s="118" t="s">
        <v>142</v>
      </c>
      <c r="AJ7" s="104"/>
      <c r="AK7" s="117"/>
      <c r="AL7" s="118" t="s">
        <v>142</v>
      </c>
      <c r="AM7" s="104"/>
      <c r="AN7" s="117"/>
      <c r="AO7" s="118" t="s">
        <v>142</v>
      </c>
      <c r="AP7" s="104"/>
      <c r="AQ7" s="117"/>
      <c r="AR7" s="118" t="s">
        <v>142</v>
      </c>
      <c r="AS7" s="104"/>
      <c r="AT7" s="117"/>
      <c r="AU7" s="118" t="s">
        <v>142</v>
      </c>
      <c r="AV7" s="104"/>
      <c r="AW7" s="117"/>
      <c r="AX7" s="118" t="s">
        <v>142</v>
      </c>
      <c r="AY7" s="104"/>
      <c r="AZ7" s="117"/>
      <c r="BA7" s="118" t="s">
        <v>142</v>
      </c>
      <c r="BB7" s="104"/>
      <c r="BC7" s="117"/>
      <c r="BD7" s="118" t="s">
        <v>142</v>
      </c>
      <c r="BE7" s="104"/>
      <c r="BF7" s="117"/>
      <c r="BG7" s="118" t="s">
        <v>142</v>
      </c>
      <c r="BH7" s="104"/>
      <c r="BI7" s="117"/>
      <c r="BJ7" s="118" t="s">
        <v>142</v>
      </c>
      <c r="BK7" s="104"/>
      <c r="BL7" s="117"/>
      <c r="BM7" s="118" t="s">
        <v>142</v>
      </c>
      <c r="BN7" s="104"/>
      <c r="BO7" s="117"/>
      <c r="BP7" s="118" t="s">
        <v>142</v>
      </c>
      <c r="BQ7" s="104"/>
      <c r="BR7" s="117"/>
      <c r="BS7" s="118" t="s">
        <v>142</v>
      </c>
      <c r="BT7" s="104"/>
      <c r="BU7" s="117"/>
      <c r="BV7" s="118" t="s">
        <v>142</v>
      </c>
      <c r="BW7" s="104"/>
      <c r="BX7" s="117"/>
      <c r="BY7" s="118" t="s">
        <v>142</v>
      </c>
      <c r="BZ7" s="104"/>
      <c r="CA7" s="117"/>
      <c r="CB7" s="118" t="s">
        <v>142</v>
      </c>
      <c r="CC7" s="104"/>
      <c r="CD7" s="117"/>
      <c r="CE7" s="118" t="s">
        <v>142</v>
      </c>
      <c r="CF7" s="104"/>
      <c r="CG7" s="117"/>
      <c r="CH7" s="118" t="s">
        <v>142</v>
      </c>
      <c r="CI7" s="104"/>
      <c r="CJ7" s="117"/>
      <c r="CK7" s="118" t="s">
        <v>142</v>
      </c>
      <c r="CL7" s="104"/>
      <c r="CM7" s="117"/>
      <c r="CN7" s="118" t="s">
        <v>142</v>
      </c>
      <c r="CO7" s="104"/>
      <c r="CP7" s="117"/>
      <c r="CQ7" s="118" t="s">
        <v>142</v>
      </c>
      <c r="CR7" s="104"/>
      <c r="CS7" s="117"/>
      <c r="CT7" s="118" t="s">
        <v>142</v>
      </c>
      <c r="CU7" s="104"/>
      <c r="CV7" s="117"/>
      <c r="CW7" s="118" t="s">
        <v>142</v>
      </c>
      <c r="CX7" s="104"/>
      <c r="CY7" s="117"/>
      <c r="CZ7" s="118" t="s">
        <v>142</v>
      </c>
      <c r="DA7" s="104"/>
      <c r="DB7" s="117"/>
      <c r="DC7" s="118" t="s">
        <v>142</v>
      </c>
      <c r="DD7" s="104"/>
      <c r="DE7" s="117"/>
      <c r="DF7" s="118" t="s">
        <v>142</v>
      </c>
      <c r="DG7" s="104"/>
      <c r="DH7" s="117"/>
      <c r="DI7" s="118" t="s">
        <v>142</v>
      </c>
      <c r="DJ7" s="104"/>
      <c r="DK7" s="117"/>
      <c r="DL7" s="118" t="s">
        <v>142</v>
      </c>
      <c r="DM7" s="104"/>
      <c r="DN7" s="117"/>
      <c r="DO7" s="118" t="s">
        <v>142</v>
      </c>
      <c r="DP7" s="104"/>
      <c r="DQ7" s="117"/>
      <c r="DR7" s="118" t="s">
        <v>142</v>
      </c>
      <c r="DS7" s="104"/>
      <c r="DT7" s="117"/>
      <c r="DU7" s="118" t="s">
        <v>142</v>
      </c>
      <c r="DV7" s="104"/>
      <c r="DW7" s="117"/>
      <c r="DX7" s="118" t="s">
        <v>142</v>
      </c>
      <c r="DY7" s="104"/>
      <c r="DZ7" s="117"/>
      <c r="EA7" s="118" t="s">
        <v>142</v>
      </c>
      <c r="EB7" s="104"/>
      <c r="EC7" s="117"/>
      <c r="ED7" s="118" t="s">
        <v>142</v>
      </c>
      <c r="EE7" s="104"/>
      <c r="EF7" s="117"/>
      <c r="EG7" s="118" t="s">
        <v>142</v>
      </c>
      <c r="EH7" s="104"/>
      <c r="EI7" s="117"/>
      <c r="EJ7" s="118" t="s">
        <v>142</v>
      </c>
      <c r="EK7" s="104"/>
      <c r="EL7" s="117"/>
      <c r="EM7" s="118" t="s">
        <v>142</v>
      </c>
      <c r="EN7" s="104"/>
      <c r="EO7" s="117"/>
      <c r="EP7" s="118" t="s">
        <v>142</v>
      </c>
      <c r="EQ7" s="104"/>
      <c r="ER7" s="117"/>
      <c r="ES7" s="118" t="s">
        <v>142</v>
      </c>
      <c r="ET7" s="104"/>
      <c r="EU7" s="3"/>
    </row>
    <row r="8" spans="1:151" x14ac:dyDescent="0.2">
      <c r="A8" s="3"/>
      <c r="B8" s="119" t="s">
        <v>146</v>
      </c>
      <c r="C8" s="116" t="s">
        <v>180</v>
      </c>
      <c r="D8" s="117"/>
      <c r="E8" s="119" t="s">
        <v>146</v>
      </c>
      <c r="F8" s="116"/>
      <c r="G8" s="117"/>
      <c r="H8" s="119" t="s">
        <v>146</v>
      </c>
      <c r="I8" s="116"/>
      <c r="J8" s="117"/>
      <c r="K8" s="119" t="s">
        <v>146</v>
      </c>
      <c r="L8" s="116"/>
      <c r="M8" s="117"/>
      <c r="N8" s="119" t="s">
        <v>146</v>
      </c>
      <c r="O8" s="116"/>
      <c r="P8" s="117"/>
      <c r="Q8" s="119" t="s">
        <v>146</v>
      </c>
      <c r="R8" s="116"/>
      <c r="S8" s="117"/>
      <c r="T8" s="119" t="s">
        <v>146</v>
      </c>
      <c r="U8" s="116"/>
      <c r="V8" s="117"/>
      <c r="W8" s="119" t="s">
        <v>146</v>
      </c>
      <c r="X8" s="116"/>
      <c r="Y8" s="117"/>
      <c r="Z8" s="119" t="s">
        <v>146</v>
      </c>
      <c r="AA8" s="116"/>
      <c r="AB8" s="117"/>
      <c r="AC8" s="119" t="s">
        <v>146</v>
      </c>
      <c r="AD8" s="116"/>
      <c r="AE8" s="117"/>
      <c r="AF8" s="119" t="s">
        <v>146</v>
      </c>
      <c r="AG8" s="116"/>
      <c r="AH8" s="117"/>
      <c r="AI8" s="119" t="s">
        <v>146</v>
      </c>
      <c r="AJ8" s="116"/>
      <c r="AK8" s="117"/>
      <c r="AL8" s="119" t="s">
        <v>146</v>
      </c>
      <c r="AM8" s="116"/>
      <c r="AN8" s="117"/>
      <c r="AO8" s="119" t="s">
        <v>146</v>
      </c>
      <c r="AP8" s="116"/>
      <c r="AQ8" s="117"/>
      <c r="AR8" s="119" t="s">
        <v>146</v>
      </c>
      <c r="AS8" s="116"/>
      <c r="AT8" s="117"/>
      <c r="AU8" s="119" t="s">
        <v>146</v>
      </c>
      <c r="AV8" s="116"/>
      <c r="AW8" s="117"/>
      <c r="AX8" s="119" t="s">
        <v>146</v>
      </c>
      <c r="AY8" s="116"/>
      <c r="AZ8" s="117"/>
      <c r="BA8" s="119" t="s">
        <v>146</v>
      </c>
      <c r="BB8" s="116"/>
      <c r="BC8" s="117"/>
      <c r="BD8" s="119" t="s">
        <v>146</v>
      </c>
      <c r="BE8" s="116"/>
      <c r="BF8" s="117"/>
      <c r="BG8" s="119" t="s">
        <v>146</v>
      </c>
      <c r="BH8" s="116"/>
      <c r="BI8" s="117"/>
      <c r="BJ8" s="119" t="s">
        <v>146</v>
      </c>
      <c r="BK8" s="116"/>
      <c r="BL8" s="117"/>
      <c r="BM8" s="119" t="s">
        <v>146</v>
      </c>
      <c r="BN8" s="116"/>
      <c r="BO8" s="117"/>
      <c r="BP8" s="119" t="s">
        <v>146</v>
      </c>
      <c r="BQ8" s="116"/>
      <c r="BR8" s="117"/>
      <c r="BS8" s="119" t="s">
        <v>146</v>
      </c>
      <c r="BT8" s="116"/>
      <c r="BU8" s="117"/>
      <c r="BV8" s="119" t="s">
        <v>146</v>
      </c>
      <c r="BW8" s="116"/>
      <c r="BX8" s="117"/>
      <c r="BY8" s="119" t="s">
        <v>146</v>
      </c>
      <c r="BZ8" s="116"/>
      <c r="CA8" s="117"/>
      <c r="CB8" s="119" t="s">
        <v>146</v>
      </c>
      <c r="CC8" s="116"/>
      <c r="CD8" s="117"/>
      <c r="CE8" s="119" t="s">
        <v>146</v>
      </c>
      <c r="CF8" s="116"/>
      <c r="CG8" s="117"/>
      <c r="CH8" s="119" t="s">
        <v>146</v>
      </c>
      <c r="CI8" s="116"/>
      <c r="CJ8" s="117"/>
      <c r="CK8" s="119" t="s">
        <v>146</v>
      </c>
      <c r="CL8" s="116"/>
      <c r="CM8" s="117"/>
      <c r="CN8" s="119" t="s">
        <v>146</v>
      </c>
      <c r="CO8" s="116"/>
      <c r="CP8" s="117"/>
      <c r="CQ8" s="119" t="s">
        <v>146</v>
      </c>
      <c r="CR8" s="116"/>
      <c r="CS8" s="117"/>
      <c r="CT8" s="119" t="s">
        <v>146</v>
      </c>
      <c r="CU8" s="116"/>
      <c r="CV8" s="117"/>
      <c r="CW8" s="119" t="s">
        <v>146</v>
      </c>
      <c r="CX8" s="116"/>
      <c r="CY8" s="117"/>
      <c r="CZ8" s="119" t="s">
        <v>146</v>
      </c>
      <c r="DA8" s="116"/>
      <c r="DB8" s="117"/>
      <c r="DC8" s="119" t="s">
        <v>146</v>
      </c>
      <c r="DD8" s="116"/>
      <c r="DE8" s="117"/>
      <c r="DF8" s="119" t="s">
        <v>146</v>
      </c>
      <c r="DG8" s="116"/>
      <c r="DH8" s="117"/>
      <c r="DI8" s="119" t="s">
        <v>146</v>
      </c>
      <c r="DJ8" s="116"/>
      <c r="DK8" s="117"/>
      <c r="DL8" s="119" t="s">
        <v>146</v>
      </c>
      <c r="DM8" s="116"/>
      <c r="DN8" s="117"/>
      <c r="DO8" s="119" t="s">
        <v>146</v>
      </c>
      <c r="DP8" s="116"/>
      <c r="DQ8" s="117"/>
      <c r="DR8" s="119" t="s">
        <v>146</v>
      </c>
      <c r="DS8" s="116"/>
      <c r="DT8" s="117"/>
      <c r="DU8" s="119" t="s">
        <v>146</v>
      </c>
      <c r="DV8" s="116"/>
      <c r="DW8" s="117"/>
      <c r="DX8" s="119" t="s">
        <v>146</v>
      </c>
      <c r="DY8" s="116"/>
      <c r="DZ8" s="117"/>
      <c r="EA8" s="119" t="s">
        <v>146</v>
      </c>
      <c r="EB8" s="116"/>
      <c r="EC8" s="117"/>
      <c r="ED8" s="119" t="s">
        <v>146</v>
      </c>
      <c r="EE8" s="116"/>
      <c r="EF8" s="117"/>
      <c r="EG8" s="119" t="s">
        <v>146</v>
      </c>
      <c r="EH8" s="116"/>
      <c r="EI8" s="117"/>
      <c r="EJ8" s="119" t="s">
        <v>146</v>
      </c>
      <c r="EK8" s="116"/>
      <c r="EL8" s="117"/>
      <c r="EM8" s="119" t="s">
        <v>146</v>
      </c>
      <c r="EN8" s="116"/>
      <c r="EO8" s="117"/>
      <c r="EP8" s="119" t="s">
        <v>146</v>
      </c>
      <c r="EQ8" s="116"/>
      <c r="ER8" s="117"/>
      <c r="ES8" s="119" t="s">
        <v>146</v>
      </c>
      <c r="ET8" s="116"/>
      <c r="EU8" s="3"/>
    </row>
    <row r="9" spans="1:151" ht="13.5" thickBot="1" x14ac:dyDescent="0.25">
      <c r="A9" s="3"/>
      <c r="B9" s="120" t="s">
        <v>147</v>
      </c>
      <c r="C9" s="121">
        <v>1</v>
      </c>
      <c r="D9" s="117"/>
      <c r="E9" s="120" t="s">
        <v>147</v>
      </c>
      <c r="F9" s="121"/>
      <c r="G9" s="117"/>
      <c r="H9" s="120" t="s">
        <v>147</v>
      </c>
      <c r="I9" s="121"/>
      <c r="J9" s="117"/>
      <c r="K9" s="120" t="s">
        <v>147</v>
      </c>
      <c r="L9" s="121"/>
      <c r="M9" s="117"/>
      <c r="N9" s="120" t="s">
        <v>147</v>
      </c>
      <c r="O9" s="121"/>
      <c r="P9" s="117"/>
      <c r="Q9" s="120" t="s">
        <v>147</v>
      </c>
      <c r="R9" s="121"/>
      <c r="S9" s="117"/>
      <c r="T9" s="120" t="s">
        <v>147</v>
      </c>
      <c r="U9" s="121"/>
      <c r="V9" s="117"/>
      <c r="W9" s="120" t="s">
        <v>147</v>
      </c>
      <c r="X9" s="121"/>
      <c r="Y9" s="117"/>
      <c r="Z9" s="120" t="s">
        <v>147</v>
      </c>
      <c r="AA9" s="121"/>
      <c r="AB9" s="117"/>
      <c r="AC9" s="120" t="s">
        <v>147</v>
      </c>
      <c r="AD9" s="121"/>
      <c r="AE9" s="117"/>
      <c r="AF9" s="120" t="s">
        <v>147</v>
      </c>
      <c r="AG9" s="121"/>
      <c r="AH9" s="117"/>
      <c r="AI9" s="120" t="s">
        <v>147</v>
      </c>
      <c r="AJ9" s="121"/>
      <c r="AK9" s="117"/>
      <c r="AL9" s="120" t="s">
        <v>147</v>
      </c>
      <c r="AM9" s="121"/>
      <c r="AN9" s="117"/>
      <c r="AO9" s="120" t="s">
        <v>147</v>
      </c>
      <c r="AP9" s="121"/>
      <c r="AQ9" s="117"/>
      <c r="AR9" s="120" t="s">
        <v>147</v>
      </c>
      <c r="AS9" s="121"/>
      <c r="AT9" s="117"/>
      <c r="AU9" s="120" t="s">
        <v>147</v>
      </c>
      <c r="AV9" s="121"/>
      <c r="AW9" s="117"/>
      <c r="AX9" s="120" t="s">
        <v>147</v>
      </c>
      <c r="AY9" s="121"/>
      <c r="AZ9" s="117"/>
      <c r="BA9" s="120" t="s">
        <v>147</v>
      </c>
      <c r="BB9" s="121"/>
      <c r="BC9" s="117"/>
      <c r="BD9" s="120" t="s">
        <v>147</v>
      </c>
      <c r="BE9" s="121"/>
      <c r="BF9" s="117"/>
      <c r="BG9" s="120" t="s">
        <v>147</v>
      </c>
      <c r="BH9" s="121"/>
      <c r="BI9" s="117"/>
      <c r="BJ9" s="120" t="s">
        <v>147</v>
      </c>
      <c r="BK9" s="121"/>
      <c r="BL9" s="117"/>
      <c r="BM9" s="120" t="s">
        <v>147</v>
      </c>
      <c r="BN9" s="121"/>
      <c r="BO9" s="117"/>
      <c r="BP9" s="120" t="s">
        <v>147</v>
      </c>
      <c r="BQ9" s="121"/>
      <c r="BR9" s="117"/>
      <c r="BS9" s="120" t="s">
        <v>147</v>
      </c>
      <c r="BT9" s="121"/>
      <c r="BU9" s="117"/>
      <c r="BV9" s="120" t="s">
        <v>147</v>
      </c>
      <c r="BW9" s="121"/>
      <c r="BX9" s="117"/>
      <c r="BY9" s="120" t="s">
        <v>147</v>
      </c>
      <c r="BZ9" s="121"/>
      <c r="CA9" s="117"/>
      <c r="CB9" s="120" t="s">
        <v>147</v>
      </c>
      <c r="CC9" s="121"/>
      <c r="CD9" s="117"/>
      <c r="CE9" s="120" t="s">
        <v>147</v>
      </c>
      <c r="CF9" s="121"/>
      <c r="CG9" s="117"/>
      <c r="CH9" s="120" t="s">
        <v>147</v>
      </c>
      <c r="CI9" s="121"/>
      <c r="CJ9" s="117"/>
      <c r="CK9" s="120" t="s">
        <v>147</v>
      </c>
      <c r="CL9" s="121"/>
      <c r="CM9" s="117"/>
      <c r="CN9" s="120" t="s">
        <v>147</v>
      </c>
      <c r="CO9" s="121"/>
      <c r="CP9" s="117"/>
      <c r="CQ9" s="120" t="s">
        <v>147</v>
      </c>
      <c r="CR9" s="121"/>
      <c r="CS9" s="117"/>
      <c r="CT9" s="120" t="s">
        <v>147</v>
      </c>
      <c r="CU9" s="121"/>
      <c r="CV9" s="117"/>
      <c r="CW9" s="120" t="s">
        <v>147</v>
      </c>
      <c r="CX9" s="121"/>
      <c r="CY9" s="117"/>
      <c r="CZ9" s="120" t="s">
        <v>147</v>
      </c>
      <c r="DA9" s="121"/>
      <c r="DB9" s="117"/>
      <c r="DC9" s="120" t="s">
        <v>147</v>
      </c>
      <c r="DD9" s="121"/>
      <c r="DE9" s="117"/>
      <c r="DF9" s="120" t="s">
        <v>147</v>
      </c>
      <c r="DG9" s="121"/>
      <c r="DH9" s="117"/>
      <c r="DI9" s="120" t="s">
        <v>147</v>
      </c>
      <c r="DJ9" s="121"/>
      <c r="DK9" s="117"/>
      <c r="DL9" s="120" t="s">
        <v>147</v>
      </c>
      <c r="DM9" s="121"/>
      <c r="DN9" s="117"/>
      <c r="DO9" s="120" t="s">
        <v>147</v>
      </c>
      <c r="DP9" s="121"/>
      <c r="DQ9" s="117"/>
      <c r="DR9" s="120" t="s">
        <v>147</v>
      </c>
      <c r="DS9" s="121"/>
      <c r="DT9" s="117"/>
      <c r="DU9" s="120" t="s">
        <v>147</v>
      </c>
      <c r="DV9" s="121"/>
      <c r="DW9" s="117"/>
      <c r="DX9" s="120" t="s">
        <v>147</v>
      </c>
      <c r="DY9" s="121"/>
      <c r="DZ9" s="117"/>
      <c r="EA9" s="120" t="s">
        <v>147</v>
      </c>
      <c r="EB9" s="121"/>
      <c r="EC9" s="117"/>
      <c r="ED9" s="120" t="s">
        <v>147</v>
      </c>
      <c r="EE9" s="121"/>
      <c r="EF9" s="117"/>
      <c r="EG9" s="120" t="s">
        <v>147</v>
      </c>
      <c r="EH9" s="121"/>
      <c r="EI9" s="117"/>
      <c r="EJ9" s="120" t="s">
        <v>147</v>
      </c>
      <c r="EK9" s="121"/>
      <c r="EL9" s="117"/>
      <c r="EM9" s="120" t="s">
        <v>147</v>
      </c>
      <c r="EN9" s="121"/>
      <c r="EO9" s="117"/>
      <c r="EP9" s="120" t="s">
        <v>147</v>
      </c>
      <c r="EQ9" s="121"/>
      <c r="ER9" s="117"/>
      <c r="ES9" s="120" t="s">
        <v>147</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B2" sqref="B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142</v>
      </c>
      <c r="D7" s="104"/>
      <c r="E7" s="42"/>
      <c r="F7" s="42"/>
      <c r="G7" s="49"/>
      <c r="H7" s="118" t="s">
        <v>142</v>
      </c>
      <c r="I7" s="104"/>
      <c r="J7" s="42"/>
      <c r="K7" s="42"/>
      <c r="L7" s="49"/>
      <c r="M7" s="118" t="s">
        <v>142</v>
      </c>
      <c r="N7" s="104"/>
      <c r="O7" s="42"/>
      <c r="P7" s="42"/>
      <c r="Q7" s="49"/>
      <c r="R7" s="118" t="s">
        <v>142</v>
      </c>
      <c r="S7" s="104"/>
      <c r="T7" s="42"/>
      <c r="U7" s="42"/>
      <c r="V7" s="49"/>
      <c r="W7" s="118" t="s">
        <v>142</v>
      </c>
      <c r="X7" s="104"/>
      <c r="Y7" s="42"/>
      <c r="Z7" s="42"/>
      <c r="AA7" s="49"/>
      <c r="AB7" s="118" t="s">
        <v>142</v>
      </c>
      <c r="AC7" s="104"/>
      <c r="AD7" s="42"/>
      <c r="AE7" s="42"/>
      <c r="AF7" s="49"/>
      <c r="AG7" s="118" t="s">
        <v>142</v>
      </c>
      <c r="AH7" s="104"/>
      <c r="AI7" s="42"/>
      <c r="AJ7" s="42"/>
      <c r="AK7" s="49"/>
      <c r="AL7" s="118" t="s">
        <v>142</v>
      </c>
      <c r="AM7" s="104"/>
      <c r="AN7" s="42"/>
      <c r="AO7" s="42"/>
      <c r="AP7" s="49"/>
      <c r="AQ7" s="118" t="s">
        <v>142</v>
      </c>
      <c r="AR7" s="104"/>
      <c r="AS7" s="42"/>
      <c r="AT7" s="42"/>
      <c r="AU7" s="49"/>
      <c r="AV7" s="118" t="s">
        <v>142</v>
      </c>
      <c r="AW7" s="104"/>
      <c r="AX7" s="42"/>
      <c r="AY7" s="42"/>
      <c r="AZ7" s="49"/>
      <c r="BA7" s="118" t="s">
        <v>142</v>
      </c>
      <c r="BB7" s="104"/>
      <c r="BC7" s="42"/>
      <c r="BD7" s="42"/>
      <c r="BE7" s="49"/>
      <c r="BF7" s="118" t="s">
        <v>142</v>
      </c>
      <c r="BG7" s="104"/>
      <c r="BH7" s="42"/>
      <c r="BI7" s="42"/>
      <c r="BJ7" s="49"/>
      <c r="BK7" s="118" t="s">
        <v>142</v>
      </c>
      <c r="BL7" s="104"/>
      <c r="BM7" s="42"/>
      <c r="BN7" s="42"/>
      <c r="BO7" s="49"/>
      <c r="BP7" s="118" t="s">
        <v>142</v>
      </c>
      <c r="BQ7" s="104"/>
      <c r="BR7" s="42"/>
      <c r="BS7" s="42"/>
      <c r="BT7" s="49"/>
      <c r="BU7" s="118" t="s">
        <v>142</v>
      </c>
      <c r="BV7" s="104"/>
      <c r="BW7" s="42"/>
      <c r="BX7" s="42"/>
      <c r="BY7" s="49"/>
      <c r="BZ7" s="118" t="s">
        <v>142</v>
      </c>
      <c r="CA7" s="104"/>
      <c r="CB7" s="42"/>
      <c r="CC7" s="42"/>
      <c r="CD7" s="49"/>
      <c r="CE7" s="118" t="s">
        <v>142</v>
      </c>
      <c r="CF7" s="104"/>
      <c r="CG7" s="42"/>
      <c r="CH7" s="42"/>
      <c r="CI7" s="49"/>
      <c r="CJ7" s="118" t="s">
        <v>142</v>
      </c>
      <c r="CK7" s="104"/>
      <c r="CL7" s="42"/>
      <c r="CM7" s="42"/>
      <c r="CN7" s="49"/>
      <c r="CO7" s="118" t="s">
        <v>142</v>
      </c>
      <c r="CP7" s="104"/>
      <c r="CQ7" s="42"/>
      <c r="CR7" s="42"/>
      <c r="CS7" s="49"/>
      <c r="CT7" s="118" t="s">
        <v>142</v>
      </c>
      <c r="CU7" s="104"/>
      <c r="CV7" s="42"/>
      <c r="CW7" s="42"/>
      <c r="CX7" s="49"/>
      <c r="CY7" s="118" t="s">
        <v>142</v>
      </c>
      <c r="CZ7" s="104"/>
      <c r="DA7" s="42"/>
      <c r="DB7" s="42"/>
      <c r="DC7" s="49"/>
      <c r="DD7" s="118" t="s">
        <v>142</v>
      </c>
      <c r="DE7" s="104"/>
      <c r="DF7" s="42"/>
      <c r="DG7" s="42"/>
      <c r="DH7" s="49"/>
      <c r="DI7" s="118" t="s">
        <v>142</v>
      </c>
      <c r="DJ7" s="104"/>
      <c r="DK7" s="42"/>
      <c r="DL7" s="42"/>
      <c r="DM7" s="49"/>
      <c r="DN7" s="118" t="s">
        <v>142</v>
      </c>
      <c r="DO7" s="104"/>
      <c r="DP7" s="42"/>
      <c r="DQ7" s="42"/>
      <c r="DR7" s="49"/>
      <c r="DS7" s="118" t="s">
        <v>142</v>
      </c>
      <c r="DT7" s="104"/>
      <c r="DU7" s="42"/>
      <c r="DV7" s="42"/>
      <c r="DW7" s="49"/>
      <c r="DX7" s="118" t="s">
        <v>142</v>
      </c>
      <c r="DY7" s="104"/>
      <c r="DZ7" s="42"/>
      <c r="EA7" s="42"/>
      <c r="EB7" s="49"/>
      <c r="EC7" s="118" t="s">
        <v>142</v>
      </c>
      <c r="ED7" s="104"/>
      <c r="EE7" s="42"/>
      <c r="EF7" s="42"/>
      <c r="EG7" s="49"/>
      <c r="EH7" s="118" t="s">
        <v>142</v>
      </c>
      <c r="EI7" s="104"/>
      <c r="EJ7" s="42"/>
      <c r="EK7" s="42"/>
      <c r="EL7" s="49"/>
      <c r="EM7" s="118" t="s">
        <v>142</v>
      </c>
      <c r="EN7" s="104"/>
      <c r="EO7" s="42"/>
      <c r="EP7" s="42"/>
      <c r="EQ7" s="49"/>
      <c r="ER7" s="118" t="s">
        <v>142</v>
      </c>
      <c r="ES7" s="104"/>
      <c r="ET7" s="42"/>
      <c r="EU7" s="42"/>
      <c r="EV7" s="49"/>
      <c r="EW7" s="118" t="s">
        <v>142</v>
      </c>
      <c r="EX7" s="104"/>
      <c r="EY7" s="42"/>
      <c r="EZ7" s="42"/>
      <c r="FA7" s="49"/>
      <c r="FB7" s="118" t="s">
        <v>142</v>
      </c>
      <c r="FC7" s="104"/>
      <c r="FD7" s="42"/>
      <c r="FE7" s="42"/>
      <c r="FF7" s="49"/>
      <c r="FG7" s="118" t="s">
        <v>142</v>
      </c>
      <c r="FH7" s="104"/>
      <c r="FI7" s="42"/>
      <c r="FJ7" s="42"/>
      <c r="FK7" s="49"/>
      <c r="FL7" s="118" t="s">
        <v>142</v>
      </c>
      <c r="FM7" s="104"/>
      <c r="FN7" s="42"/>
      <c r="FO7" s="42"/>
      <c r="FP7" s="49"/>
      <c r="FQ7" s="118" t="s">
        <v>142</v>
      </c>
      <c r="FR7" s="104"/>
      <c r="FS7" s="42"/>
      <c r="FT7" s="42"/>
      <c r="FU7" s="49"/>
      <c r="FV7" s="118" t="s">
        <v>142</v>
      </c>
      <c r="FW7" s="104"/>
      <c r="FX7" s="42"/>
      <c r="FY7" s="42"/>
      <c r="FZ7" s="49"/>
      <c r="GA7" s="118" t="s">
        <v>142</v>
      </c>
      <c r="GB7" s="104"/>
      <c r="GC7" s="42"/>
      <c r="GD7" s="42"/>
      <c r="GE7" s="49"/>
      <c r="GF7" s="118" t="s">
        <v>142</v>
      </c>
      <c r="GG7" s="104"/>
      <c r="GH7" s="42"/>
      <c r="GI7" s="42"/>
      <c r="GJ7" s="49"/>
      <c r="GK7" s="118" t="s">
        <v>142</v>
      </c>
      <c r="GL7" s="104"/>
      <c r="GM7" s="42"/>
      <c r="GN7" s="42"/>
      <c r="GO7" s="49"/>
      <c r="GP7" s="118" t="s">
        <v>142</v>
      </c>
      <c r="GQ7" s="104"/>
      <c r="GR7" s="42"/>
      <c r="GS7" s="42"/>
      <c r="GT7" s="49"/>
      <c r="GU7" s="118" t="s">
        <v>142</v>
      </c>
      <c r="GV7" s="104"/>
      <c r="GW7" s="42"/>
      <c r="GX7" s="42"/>
      <c r="GY7" s="49"/>
      <c r="GZ7" s="118" t="s">
        <v>142</v>
      </c>
      <c r="HA7" s="104"/>
      <c r="HB7" s="42"/>
      <c r="HC7" s="42"/>
      <c r="HD7" s="49"/>
      <c r="HE7" s="118" t="s">
        <v>142</v>
      </c>
      <c r="HF7" s="104"/>
      <c r="HG7" s="42"/>
      <c r="HH7" s="42"/>
      <c r="HI7" s="49"/>
      <c r="HJ7" s="118" t="s">
        <v>142</v>
      </c>
      <c r="HK7" s="104"/>
      <c r="HL7" s="42"/>
      <c r="HM7" s="42"/>
      <c r="HN7" s="49"/>
      <c r="HO7" s="118" t="s">
        <v>142</v>
      </c>
      <c r="HP7" s="104"/>
      <c r="HQ7" s="42"/>
      <c r="HR7" s="42"/>
      <c r="HS7" s="49"/>
      <c r="HT7" s="118" t="s">
        <v>142</v>
      </c>
      <c r="HU7" s="104"/>
      <c r="HV7" s="42"/>
      <c r="HW7" s="42"/>
      <c r="HX7" s="49"/>
      <c r="HY7" s="118" t="s">
        <v>142</v>
      </c>
      <c r="HZ7" s="104"/>
      <c r="IA7" s="42"/>
      <c r="IB7" s="42"/>
      <c r="IC7" s="49"/>
      <c r="ID7" s="118" t="s">
        <v>142</v>
      </c>
      <c r="IE7" s="104"/>
      <c r="IF7" s="42"/>
      <c r="IG7" s="42"/>
      <c r="IH7" s="49"/>
      <c r="II7" s="118" t="s">
        <v>142</v>
      </c>
      <c r="IJ7" s="104"/>
      <c r="IK7" s="42"/>
      <c r="IL7" s="42"/>
      <c r="IM7" s="49"/>
      <c r="IN7" s="118" t="s">
        <v>142</v>
      </c>
      <c r="IO7" s="104"/>
      <c r="IP7" s="42"/>
      <c r="IQ7" s="42"/>
    </row>
    <row r="8" spans="1:251" ht="13.5" thickBot="1" x14ac:dyDescent="0.25">
      <c r="A8" s="42"/>
      <c r="B8" s="42"/>
      <c r="C8" s="172" t="s">
        <v>148</v>
      </c>
      <c r="D8" s="116"/>
      <c r="E8" s="42"/>
      <c r="F8" s="42"/>
      <c r="G8" s="42"/>
      <c r="H8" s="172" t="s">
        <v>148</v>
      </c>
      <c r="I8" s="116"/>
      <c r="J8" s="42"/>
      <c r="K8" s="42"/>
      <c r="L8" s="42"/>
      <c r="M8" s="172" t="s">
        <v>148</v>
      </c>
      <c r="N8" s="116"/>
      <c r="O8" s="42"/>
      <c r="P8" s="42"/>
      <c r="Q8" s="42"/>
      <c r="R8" s="172" t="s">
        <v>148</v>
      </c>
      <c r="S8" s="116"/>
      <c r="T8" s="42"/>
      <c r="U8" s="42"/>
      <c r="V8" s="42"/>
      <c r="W8" s="172" t="s">
        <v>148</v>
      </c>
      <c r="X8" s="116"/>
      <c r="Y8" s="42"/>
      <c r="Z8" s="42"/>
      <c r="AA8" s="42"/>
      <c r="AB8" s="172" t="s">
        <v>148</v>
      </c>
      <c r="AC8" s="116"/>
      <c r="AD8" s="42"/>
      <c r="AE8" s="42"/>
      <c r="AF8" s="42"/>
      <c r="AG8" s="172" t="s">
        <v>148</v>
      </c>
      <c r="AH8" s="116"/>
      <c r="AI8" s="42"/>
      <c r="AJ8" s="42"/>
      <c r="AK8" s="42"/>
      <c r="AL8" s="172" t="s">
        <v>148</v>
      </c>
      <c r="AM8" s="116"/>
      <c r="AN8" s="42"/>
      <c r="AO8" s="42"/>
      <c r="AP8" s="42"/>
      <c r="AQ8" s="172" t="s">
        <v>148</v>
      </c>
      <c r="AR8" s="116"/>
      <c r="AS8" s="42"/>
      <c r="AT8" s="42"/>
      <c r="AU8" s="42"/>
      <c r="AV8" s="172" t="s">
        <v>148</v>
      </c>
      <c r="AW8" s="116"/>
      <c r="AX8" s="42"/>
      <c r="AY8" s="42"/>
      <c r="AZ8" s="42"/>
      <c r="BA8" s="172" t="s">
        <v>148</v>
      </c>
      <c r="BB8" s="116"/>
      <c r="BC8" s="42"/>
      <c r="BD8" s="42"/>
      <c r="BE8" s="42"/>
      <c r="BF8" s="172" t="s">
        <v>148</v>
      </c>
      <c r="BG8" s="116"/>
      <c r="BH8" s="42"/>
      <c r="BI8" s="42"/>
      <c r="BJ8" s="42"/>
      <c r="BK8" s="172" t="s">
        <v>148</v>
      </c>
      <c r="BL8" s="116"/>
      <c r="BM8" s="42"/>
      <c r="BN8" s="42"/>
      <c r="BO8" s="42"/>
      <c r="BP8" s="172" t="s">
        <v>148</v>
      </c>
      <c r="BQ8" s="116"/>
      <c r="BR8" s="42"/>
      <c r="BS8" s="42"/>
      <c r="BT8" s="42"/>
      <c r="BU8" s="172" t="s">
        <v>148</v>
      </c>
      <c r="BV8" s="116"/>
      <c r="BW8" s="42"/>
      <c r="BX8" s="42"/>
      <c r="BY8" s="42"/>
      <c r="BZ8" s="172" t="s">
        <v>148</v>
      </c>
      <c r="CA8" s="116"/>
      <c r="CB8" s="42"/>
      <c r="CC8" s="42"/>
      <c r="CD8" s="42"/>
      <c r="CE8" s="172" t="s">
        <v>148</v>
      </c>
      <c r="CF8" s="116"/>
      <c r="CG8" s="42"/>
      <c r="CH8" s="42"/>
      <c r="CI8" s="42"/>
      <c r="CJ8" s="172" t="s">
        <v>148</v>
      </c>
      <c r="CK8" s="116"/>
      <c r="CL8" s="42"/>
      <c r="CM8" s="42"/>
      <c r="CN8" s="42"/>
      <c r="CO8" s="172" t="s">
        <v>148</v>
      </c>
      <c r="CP8" s="116"/>
      <c r="CQ8" s="42"/>
      <c r="CR8" s="42"/>
      <c r="CS8" s="42"/>
      <c r="CT8" s="172" t="s">
        <v>148</v>
      </c>
      <c r="CU8" s="116"/>
      <c r="CV8" s="42"/>
      <c r="CW8" s="42"/>
      <c r="CX8" s="42"/>
      <c r="CY8" s="172" t="s">
        <v>148</v>
      </c>
      <c r="CZ8" s="116"/>
      <c r="DA8" s="42"/>
      <c r="DB8" s="42"/>
      <c r="DC8" s="42"/>
      <c r="DD8" s="172" t="s">
        <v>148</v>
      </c>
      <c r="DE8" s="116"/>
      <c r="DF8" s="42"/>
      <c r="DG8" s="42"/>
      <c r="DH8" s="42"/>
      <c r="DI8" s="172" t="s">
        <v>148</v>
      </c>
      <c r="DJ8" s="116"/>
      <c r="DK8" s="42"/>
      <c r="DL8" s="42"/>
      <c r="DM8" s="42"/>
      <c r="DN8" s="172" t="s">
        <v>148</v>
      </c>
      <c r="DO8" s="116"/>
      <c r="DP8" s="42"/>
      <c r="DQ8" s="42"/>
      <c r="DR8" s="42"/>
      <c r="DS8" s="172" t="s">
        <v>148</v>
      </c>
      <c r="DT8" s="116"/>
      <c r="DU8" s="42"/>
      <c r="DV8" s="42"/>
      <c r="DW8" s="42"/>
      <c r="DX8" s="172" t="s">
        <v>148</v>
      </c>
      <c r="DY8" s="116"/>
      <c r="DZ8" s="42"/>
      <c r="EA8" s="42"/>
      <c r="EB8" s="42"/>
      <c r="EC8" s="172" t="s">
        <v>148</v>
      </c>
      <c r="ED8" s="116"/>
      <c r="EE8" s="42"/>
      <c r="EF8" s="42"/>
      <c r="EG8" s="42"/>
      <c r="EH8" s="172" t="s">
        <v>148</v>
      </c>
      <c r="EI8" s="116"/>
      <c r="EJ8" s="42"/>
      <c r="EK8" s="42"/>
      <c r="EL8" s="42"/>
      <c r="EM8" s="172" t="s">
        <v>148</v>
      </c>
      <c r="EN8" s="116"/>
      <c r="EO8" s="42"/>
      <c r="EP8" s="42"/>
      <c r="EQ8" s="42"/>
      <c r="ER8" s="172" t="s">
        <v>148</v>
      </c>
      <c r="ES8" s="116"/>
      <c r="ET8" s="42"/>
      <c r="EU8" s="42"/>
      <c r="EV8" s="42"/>
      <c r="EW8" s="172" t="s">
        <v>148</v>
      </c>
      <c r="EX8" s="116"/>
      <c r="EY8" s="42"/>
      <c r="EZ8" s="42"/>
      <c r="FA8" s="42"/>
      <c r="FB8" s="172" t="s">
        <v>148</v>
      </c>
      <c r="FC8" s="116"/>
      <c r="FD8" s="42"/>
      <c r="FE8" s="42"/>
      <c r="FF8" s="42"/>
      <c r="FG8" s="172" t="s">
        <v>148</v>
      </c>
      <c r="FH8" s="116"/>
      <c r="FI8" s="42"/>
      <c r="FJ8" s="42"/>
      <c r="FK8" s="42"/>
      <c r="FL8" s="172" t="s">
        <v>148</v>
      </c>
      <c r="FM8" s="116"/>
      <c r="FN8" s="42"/>
      <c r="FO8" s="42"/>
      <c r="FP8" s="42"/>
      <c r="FQ8" s="172" t="s">
        <v>148</v>
      </c>
      <c r="FR8" s="116"/>
      <c r="FS8" s="42"/>
      <c r="FT8" s="42"/>
      <c r="FU8" s="42"/>
      <c r="FV8" s="172" t="s">
        <v>148</v>
      </c>
      <c r="FW8" s="116"/>
      <c r="FX8" s="42"/>
      <c r="FY8" s="42"/>
      <c r="FZ8" s="42"/>
      <c r="GA8" s="172" t="s">
        <v>148</v>
      </c>
      <c r="GB8" s="116"/>
      <c r="GC8" s="42"/>
      <c r="GD8" s="42"/>
      <c r="GE8" s="42"/>
      <c r="GF8" s="172" t="s">
        <v>148</v>
      </c>
      <c r="GG8" s="116"/>
      <c r="GH8" s="42"/>
      <c r="GI8" s="42"/>
      <c r="GJ8" s="42"/>
      <c r="GK8" s="172" t="s">
        <v>148</v>
      </c>
      <c r="GL8" s="116"/>
      <c r="GM8" s="42"/>
      <c r="GN8" s="42"/>
      <c r="GO8" s="42"/>
      <c r="GP8" s="172" t="s">
        <v>148</v>
      </c>
      <c r="GQ8" s="116"/>
      <c r="GR8" s="42"/>
      <c r="GS8" s="42"/>
      <c r="GT8" s="42"/>
      <c r="GU8" s="172" t="s">
        <v>148</v>
      </c>
      <c r="GV8" s="116"/>
      <c r="GW8" s="42"/>
      <c r="GX8" s="42"/>
      <c r="GY8" s="42"/>
      <c r="GZ8" s="172" t="s">
        <v>148</v>
      </c>
      <c r="HA8" s="116"/>
      <c r="HB8" s="42"/>
      <c r="HC8" s="42"/>
      <c r="HD8" s="42"/>
      <c r="HE8" s="172" t="s">
        <v>148</v>
      </c>
      <c r="HF8" s="116"/>
      <c r="HG8" s="42"/>
      <c r="HH8" s="42"/>
      <c r="HI8" s="42"/>
      <c r="HJ8" s="172" t="s">
        <v>148</v>
      </c>
      <c r="HK8" s="116"/>
      <c r="HL8" s="42"/>
      <c r="HM8" s="42"/>
      <c r="HN8" s="42"/>
      <c r="HO8" s="172" t="s">
        <v>148</v>
      </c>
      <c r="HP8" s="116"/>
      <c r="HQ8" s="42"/>
      <c r="HR8" s="42"/>
      <c r="HS8" s="42"/>
      <c r="HT8" s="172" t="s">
        <v>148</v>
      </c>
      <c r="HU8" s="116"/>
      <c r="HV8" s="42"/>
      <c r="HW8" s="42"/>
      <c r="HX8" s="42"/>
      <c r="HY8" s="172" t="s">
        <v>148</v>
      </c>
      <c r="HZ8" s="116"/>
      <c r="IA8" s="42"/>
      <c r="IB8" s="42"/>
      <c r="IC8" s="42"/>
      <c r="ID8" s="172" t="s">
        <v>148</v>
      </c>
      <c r="IE8" s="116"/>
      <c r="IF8" s="42"/>
      <c r="IG8" s="42"/>
      <c r="IH8" s="42"/>
      <c r="II8" s="172" t="s">
        <v>148</v>
      </c>
      <c r="IJ8" s="116"/>
      <c r="IK8" s="42"/>
      <c r="IL8" s="42"/>
      <c r="IM8" s="42"/>
      <c r="IN8" s="172" t="s">
        <v>148</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145</v>
      </c>
      <c r="C10" s="173" t="s">
        <v>149</v>
      </c>
      <c r="D10" s="174" t="s">
        <v>150</v>
      </c>
      <c r="E10" s="146" t="s">
        <v>151</v>
      </c>
      <c r="F10" s="42"/>
      <c r="G10" s="146" t="s">
        <v>145</v>
      </c>
      <c r="H10" s="173" t="s">
        <v>149</v>
      </c>
      <c r="I10" s="174" t="s">
        <v>150</v>
      </c>
      <c r="J10" s="146" t="s">
        <v>151</v>
      </c>
      <c r="K10" s="42"/>
      <c r="L10" s="146" t="s">
        <v>145</v>
      </c>
      <c r="M10" s="173" t="s">
        <v>149</v>
      </c>
      <c r="N10" s="174" t="s">
        <v>150</v>
      </c>
      <c r="O10" s="146" t="s">
        <v>151</v>
      </c>
      <c r="P10" s="42"/>
      <c r="Q10" s="146" t="s">
        <v>145</v>
      </c>
      <c r="R10" s="173" t="s">
        <v>149</v>
      </c>
      <c r="S10" s="174" t="s">
        <v>150</v>
      </c>
      <c r="T10" s="146" t="s">
        <v>151</v>
      </c>
      <c r="U10" s="42"/>
      <c r="V10" s="146" t="s">
        <v>145</v>
      </c>
      <c r="W10" s="173" t="s">
        <v>149</v>
      </c>
      <c r="X10" s="174" t="s">
        <v>150</v>
      </c>
      <c r="Y10" s="146" t="s">
        <v>151</v>
      </c>
      <c r="Z10" s="42"/>
      <c r="AA10" s="146" t="s">
        <v>145</v>
      </c>
      <c r="AB10" s="173" t="s">
        <v>149</v>
      </c>
      <c r="AC10" s="174" t="s">
        <v>150</v>
      </c>
      <c r="AD10" s="146" t="s">
        <v>151</v>
      </c>
      <c r="AE10" s="42"/>
      <c r="AF10" s="146" t="s">
        <v>145</v>
      </c>
      <c r="AG10" s="173" t="s">
        <v>149</v>
      </c>
      <c r="AH10" s="174" t="s">
        <v>150</v>
      </c>
      <c r="AI10" s="146" t="s">
        <v>151</v>
      </c>
      <c r="AJ10" s="42"/>
      <c r="AK10" s="146" t="s">
        <v>145</v>
      </c>
      <c r="AL10" s="173" t="s">
        <v>149</v>
      </c>
      <c r="AM10" s="174" t="s">
        <v>150</v>
      </c>
      <c r="AN10" s="146" t="s">
        <v>151</v>
      </c>
      <c r="AO10" s="42"/>
      <c r="AP10" s="146" t="s">
        <v>145</v>
      </c>
      <c r="AQ10" s="173" t="s">
        <v>149</v>
      </c>
      <c r="AR10" s="174" t="s">
        <v>150</v>
      </c>
      <c r="AS10" s="146" t="s">
        <v>151</v>
      </c>
      <c r="AT10" s="42"/>
      <c r="AU10" s="146" t="s">
        <v>145</v>
      </c>
      <c r="AV10" s="173" t="s">
        <v>149</v>
      </c>
      <c r="AW10" s="174" t="s">
        <v>150</v>
      </c>
      <c r="AX10" s="146" t="s">
        <v>151</v>
      </c>
      <c r="AY10" s="42"/>
      <c r="AZ10" s="146" t="s">
        <v>145</v>
      </c>
      <c r="BA10" s="173" t="s">
        <v>149</v>
      </c>
      <c r="BB10" s="174" t="s">
        <v>150</v>
      </c>
      <c r="BC10" s="146" t="s">
        <v>151</v>
      </c>
      <c r="BD10" s="42"/>
      <c r="BE10" s="146" t="s">
        <v>145</v>
      </c>
      <c r="BF10" s="173" t="s">
        <v>149</v>
      </c>
      <c r="BG10" s="174" t="s">
        <v>150</v>
      </c>
      <c r="BH10" s="146" t="s">
        <v>151</v>
      </c>
      <c r="BI10" s="42"/>
      <c r="BJ10" s="146" t="s">
        <v>145</v>
      </c>
      <c r="BK10" s="173" t="s">
        <v>149</v>
      </c>
      <c r="BL10" s="174" t="s">
        <v>150</v>
      </c>
      <c r="BM10" s="146" t="s">
        <v>151</v>
      </c>
      <c r="BN10" s="42"/>
      <c r="BO10" s="146" t="s">
        <v>145</v>
      </c>
      <c r="BP10" s="173" t="s">
        <v>149</v>
      </c>
      <c r="BQ10" s="174" t="s">
        <v>150</v>
      </c>
      <c r="BR10" s="146" t="s">
        <v>151</v>
      </c>
      <c r="BS10" s="42"/>
      <c r="BT10" s="146" t="s">
        <v>145</v>
      </c>
      <c r="BU10" s="173" t="s">
        <v>149</v>
      </c>
      <c r="BV10" s="174" t="s">
        <v>150</v>
      </c>
      <c r="BW10" s="146" t="s">
        <v>151</v>
      </c>
      <c r="BX10" s="42"/>
      <c r="BY10" s="146" t="s">
        <v>145</v>
      </c>
      <c r="BZ10" s="173" t="s">
        <v>149</v>
      </c>
      <c r="CA10" s="174" t="s">
        <v>150</v>
      </c>
      <c r="CB10" s="146" t="s">
        <v>151</v>
      </c>
      <c r="CC10" s="42"/>
      <c r="CD10" s="146" t="s">
        <v>145</v>
      </c>
      <c r="CE10" s="173" t="s">
        <v>149</v>
      </c>
      <c r="CF10" s="174" t="s">
        <v>150</v>
      </c>
      <c r="CG10" s="146" t="s">
        <v>151</v>
      </c>
      <c r="CH10" s="42"/>
      <c r="CI10" s="146" t="s">
        <v>145</v>
      </c>
      <c r="CJ10" s="173" t="s">
        <v>149</v>
      </c>
      <c r="CK10" s="174" t="s">
        <v>150</v>
      </c>
      <c r="CL10" s="146" t="s">
        <v>151</v>
      </c>
      <c r="CM10" s="42"/>
      <c r="CN10" s="146" t="s">
        <v>145</v>
      </c>
      <c r="CO10" s="173" t="s">
        <v>149</v>
      </c>
      <c r="CP10" s="174" t="s">
        <v>150</v>
      </c>
      <c r="CQ10" s="146" t="s">
        <v>151</v>
      </c>
      <c r="CR10" s="42"/>
      <c r="CS10" s="146" t="s">
        <v>145</v>
      </c>
      <c r="CT10" s="173" t="s">
        <v>149</v>
      </c>
      <c r="CU10" s="174" t="s">
        <v>150</v>
      </c>
      <c r="CV10" s="146" t="s">
        <v>151</v>
      </c>
      <c r="CW10" s="42"/>
      <c r="CX10" s="146" t="s">
        <v>145</v>
      </c>
      <c r="CY10" s="173" t="s">
        <v>149</v>
      </c>
      <c r="CZ10" s="174" t="s">
        <v>150</v>
      </c>
      <c r="DA10" s="146" t="s">
        <v>151</v>
      </c>
      <c r="DB10" s="42"/>
      <c r="DC10" s="146" t="s">
        <v>145</v>
      </c>
      <c r="DD10" s="173" t="s">
        <v>149</v>
      </c>
      <c r="DE10" s="174" t="s">
        <v>150</v>
      </c>
      <c r="DF10" s="146" t="s">
        <v>151</v>
      </c>
      <c r="DG10" s="42"/>
      <c r="DH10" s="146" t="s">
        <v>145</v>
      </c>
      <c r="DI10" s="173" t="s">
        <v>149</v>
      </c>
      <c r="DJ10" s="174" t="s">
        <v>150</v>
      </c>
      <c r="DK10" s="146" t="s">
        <v>151</v>
      </c>
      <c r="DL10" s="42"/>
      <c r="DM10" s="146" t="s">
        <v>145</v>
      </c>
      <c r="DN10" s="173" t="s">
        <v>149</v>
      </c>
      <c r="DO10" s="174" t="s">
        <v>150</v>
      </c>
      <c r="DP10" s="146" t="s">
        <v>151</v>
      </c>
      <c r="DQ10" s="42"/>
      <c r="DR10" s="146" t="s">
        <v>145</v>
      </c>
      <c r="DS10" s="173" t="s">
        <v>149</v>
      </c>
      <c r="DT10" s="174" t="s">
        <v>150</v>
      </c>
      <c r="DU10" s="146" t="s">
        <v>151</v>
      </c>
      <c r="DV10" s="42"/>
      <c r="DW10" s="146" t="s">
        <v>145</v>
      </c>
      <c r="DX10" s="173" t="s">
        <v>149</v>
      </c>
      <c r="DY10" s="174" t="s">
        <v>150</v>
      </c>
      <c r="DZ10" s="146" t="s">
        <v>151</v>
      </c>
      <c r="EA10" s="42"/>
      <c r="EB10" s="146" t="s">
        <v>145</v>
      </c>
      <c r="EC10" s="173" t="s">
        <v>149</v>
      </c>
      <c r="ED10" s="174" t="s">
        <v>150</v>
      </c>
      <c r="EE10" s="146" t="s">
        <v>151</v>
      </c>
      <c r="EF10" s="42"/>
      <c r="EG10" s="146" t="s">
        <v>145</v>
      </c>
      <c r="EH10" s="173" t="s">
        <v>149</v>
      </c>
      <c r="EI10" s="174" t="s">
        <v>150</v>
      </c>
      <c r="EJ10" s="146" t="s">
        <v>151</v>
      </c>
      <c r="EK10" s="42"/>
      <c r="EL10" s="146" t="s">
        <v>145</v>
      </c>
      <c r="EM10" s="173" t="s">
        <v>149</v>
      </c>
      <c r="EN10" s="174" t="s">
        <v>150</v>
      </c>
      <c r="EO10" s="146" t="s">
        <v>151</v>
      </c>
      <c r="EP10" s="42"/>
      <c r="EQ10" s="146" t="s">
        <v>145</v>
      </c>
      <c r="ER10" s="173" t="s">
        <v>149</v>
      </c>
      <c r="ES10" s="174" t="s">
        <v>150</v>
      </c>
      <c r="ET10" s="146" t="s">
        <v>151</v>
      </c>
      <c r="EU10" s="42"/>
      <c r="EV10" s="146" t="s">
        <v>145</v>
      </c>
      <c r="EW10" s="173" t="s">
        <v>149</v>
      </c>
      <c r="EX10" s="174" t="s">
        <v>150</v>
      </c>
      <c r="EY10" s="146" t="s">
        <v>151</v>
      </c>
      <c r="EZ10" s="42"/>
      <c r="FA10" s="146" t="s">
        <v>145</v>
      </c>
      <c r="FB10" s="173" t="s">
        <v>149</v>
      </c>
      <c r="FC10" s="174" t="s">
        <v>150</v>
      </c>
      <c r="FD10" s="146" t="s">
        <v>151</v>
      </c>
      <c r="FE10" s="42"/>
      <c r="FF10" s="146" t="s">
        <v>145</v>
      </c>
      <c r="FG10" s="173" t="s">
        <v>149</v>
      </c>
      <c r="FH10" s="174" t="s">
        <v>150</v>
      </c>
      <c r="FI10" s="146" t="s">
        <v>151</v>
      </c>
      <c r="FJ10" s="42"/>
      <c r="FK10" s="146" t="s">
        <v>145</v>
      </c>
      <c r="FL10" s="173" t="s">
        <v>149</v>
      </c>
      <c r="FM10" s="174" t="s">
        <v>150</v>
      </c>
      <c r="FN10" s="146" t="s">
        <v>151</v>
      </c>
      <c r="FO10" s="42"/>
      <c r="FP10" s="146" t="s">
        <v>145</v>
      </c>
      <c r="FQ10" s="173" t="s">
        <v>149</v>
      </c>
      <c r="FR10" s="174" t="s">
        <v>150</v>
      </c>
      <c r="FS10" s="146" t="s">
        <v>151</v>
      </c>
      <c r="FT10" s="42"/>
      <c r="FU10" s="146" t="s">
        <v>145</v>
      </c>
      <c r="FV10" s="173" t="s">
        <v>149</v>
      </c>
      <c r="FW10" s="174" t="s">
        <v>150</v>
      </c>
      <c r="FX10" s="146" t="s">
        <v>151</v>
      </c>
      <c r="FY10" s="42"/>
      <c r="FZ10" s="146" t="s">
        <v>145</v>
      </c>
      <c r="GA10" s="173" t="s">
        <v>149</v>
      </c>
      <c r="GB10" s="174" t="s">
        <v>150</v>
      </c>
      <c r="GC10" s="146" t="s">
        <v>151</v>
      </c>
      <c r="GD10" s="42"/>
      <c r="GE10" s="146" t="s">
        <v>145</v>
      </c>
      <c r="GF10" s="173" t="s">
        <v>149</v>
      </c>
      <c r="GG10" s="174" t="s">
        <v>150</v>
      </c>
      <c r="GH10" s="146" t="s">
        <v>151</v>
      </c>
      <c r="GI10" s="42"/>
      <c r="GJ10" s="146" t="s">
        <v>145</v>
      </c>
      <c r="GK10" s="173" t="s">
        <v>149</v>
      </c>
      <c r="GL10" s="174" t="s">
        <v>150</v>
      </c>
      <c r="GM10" s="146" t="s">
        <v>151</v>
      </c>
      <c r="GN10" s="42"/>
      <c r="GO10" s="146" t="s">
        <v>145</v>
      </c>
      <c r="GP10" s="173" t="s">
        <v>149</v>
      </c>
      <c r="GQ10" s="174" t="s">
        <v>150</v>
      </c>
      <c r="GR10" s="146" t="s">
        <v>151</v>
      </c>
      <c r="GS10" s="42"/>
      <c r="GT10" s="146" t="s">
        <v>145</v>
      </c>
      <c r="GU10" s="173" t="s">
        <v>149</v>
      </c>
      <c r="GV10" s="174" t="s">
        <v>150</v>
      </c>
      <c r="GW10" s="146" t="s">
        <v>151</v>
      </c>
      <c r="GX10" s="42"/>
      <c r="GY10" s="146" t="s">
        <v>145</v>
      </c>
      <c r="GZ10" s="173" t="s">
        <v>149</v>
      </c>
      <c r="HA10" s="174" t="s">
        <v>150</v>
      </c>
      <c r="HB10" s="146" t="s">
        <v>151</v>
      </c>
      <c r="HC10" s="42"/>
      <c r="HD10" s="146" t="s">
        <v>145</v>
      </c>
      <c r="HE10" s="173" t="s">
        <v>149</v>
      </c>
      <c r="HF10" s="174" t="s">
        <v>150</v>
      </c>
      <c r="HG10" s="146" t="s">
        <v>151</v>
      </c>
      <c r="HH10" s="42"/>
      <c r="HI10" s="146" t="s">
        <v>145</v>
      </c>
      <c r="HJ10" s="173" t="s">
        <v>149</v>
      </c>
      <c r="HK10" s="174" t="s">
        <v>150</v>
      </c>
      <c r="HL10" s="146" t="s">
        <v>151</v>
      </c>
      <c r="HM10" s="42"/>
      <c r="HN10" s="146" t="s">
        <v>145</v>
      </c>
      <c r="HO10" s="173" t="s">
        <v>149</v>
      </c>
      <c r="HP10" s="174" t="s">
        <v>150</v>
      </c>
      <c r="HQ10" s="146" t="s">
        <v>151</v>
      </c>
      <c r="HR10" s="42"/>
      <c r="HS10" s="146" t="s">
        <v>145</v>
      </c>
      <c r="HT10" s="173" t="s">
        <v>149</v>
      </c>
      <c r="HU10" s="174" t="s">
        <v>150</v>
      </c>
      <c r="HV10" s="146" t="s">
        <v>151</v>
      </c>
      <c r="HW10" s="42"/>
      <c r="HX10" s="146" t="s">
        <v>145</v>
      </c>
      <c r="HY10" s="173" t="s">
        <v>149</v>
      </c>
      <c r="HZ10" s="174" t="s">
        <v>150</v>
      </c>
      <c r="IA10" s="146" t="s">
        <v>151</v>
      </c>
      <c r="IB10" s="42"/>
      <c r="IC10" s="146" t="s">
        <v>145</v>
      </c>
      <c r="ID10" s="173" t="s">
        <v>149</v>
      </c>
      <c r="IE10" s="174" t="s">
        <v>150</v>
      </c>
      <c r="IF10" s="146" t="s">
        <v>151</v>
      </c>
      <c r="IG10" s="42"/>
      <c r="IH10" s="146" t="s">
        <v>145</v>
      </c>
      <c r="II10" s="173" t="s">
        <v>149</v>
      </c>
      <c r="IJ10" s="174" t="s">
        <v>150</v>
      </c>
      <c r="IK10" s="146" t="s">
        <v>151</v>
      </c>
      <c r="IL10" s="42"/>
      <c r="IM10" s="146" t="s">
        <v>145</v>
      </c>
      <c r="IN10" s="173" t="s">
        <v>149</v>
      </c>
      <c r="IO10" s="174" t="s">
        <v>150</v>
      </c>
      <c r="IP10" s="146" t="s">
        <v>151</v>
      </c>
      <c r="IQ10" s="42"/>
    </row>
    <row r="11" spans="1:251" x14ac:dyDescent="0.2">
      <c r="A11" s="42"/>
      <c r="B11" s="107"/>
      <c r="C11" s="104"/>
      <c r="D11" s="54"/>
      <c r="E11" s="53"/>
      <c r="F11" s="74"/>
      <c r="G11" s="107"/>
      <c r="H11" s="104"/>
      <c r="I11" s="54"/>
      <c r="J11" s="53"/>
      <c r="K11" s="74"/>
      <c r="L11" s="107"/>
      <c r="M11" s="104"/>
      <c r="N11" s="54"/>
      <c r="O11" s="53"/>
      <c r="P11" s="74"/>
      <c r="Q11" s="107"/>
      <c r="R11" s="35"/>
      <c r="S11" s="52"/>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I7">
      <formula1>NameLabelRange</formula1>
    </dataValidation>
    <dataValidation type="list" allowBlank="1" sqref="I8">
      <formula1>DistributionsWorkStations</formula1>
    </dataValidation>
    <dataValidation type="list" allowBlank="1" sqref="N7">
      <formula1>NameLabelRange</formula1>
    </dataValidation>
    <dataValidation type="list" allowBlank="1" sqref="N8">
      <formula1>DistributionsWorkStations</formula1>
    </dataValidation>
    <dataValidation type="list" allowBlank="1" sqref="S7">
      <formula1>NameLabelRange</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D7">
      <formula1>NameLabelRange</formula1>
    </dataValidation>
    <dataValidation type="list" allowBlank="1" sqref="D8">
      <formula1>DistributionsWorkStations</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C8" sqref="C8"/>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160</v>
      </c>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172" t="s">
        <v>152</v>
      </c>
      <c r="C8" s="116">
        <v>70</v>
      </c>
      <c r="D8" s="3"/>
      <c r="E8" s="172" t="s">
        <v>152</v>
      </c>
      <c r="F8" s="116"/>
      <c r="G8" s="3"/>
      <c r="H8" s="172" t="s">
        <v>152</v>
      </c>
      <c r="I8" s="116"/>
      <c r="J8" s="3"/>
      <c r="K8" s="172" t="s">
        <v>152</v>
      </c>
      <c r="L8" s="116"/>
      <c r="M8" s="3"/>
      <c r="N8" s="172" t="s">
        <v>152</v>
      </c>
      <c r="O8" s="116"/>
      <c r="P8" s="3"/>
      <c r="Q8" s="172" t="s">
        <v>152</v>
      </c>
      <c r="R8" s="116"/>
      <c r="S8" s="3"/>
      <c r="T8" s="172" t="s">
        <v>152</v>
      </c>
      <c r="U8" s="116"/>
      <c r="V8" s="3"/>
      <c r="W8" s="172" t="s">
        <v>152</v>
      </c>
      <c r="X8" s="116"/>
      <c r="Y8" s="3"/>
      <c r="Z8" s="172" t="s">
        <v>152</v>
      </c>
      <c r="AA8" s="116"/>
      <c r="AB8" s="3"/>
      <c r="AC8" s="172" t="s">
        <v>152</v>
      </c>
      <c r="AD8" s="116"/>
      <c r="AE8" s="3"/>
      <c r="AF8" s="172" t="s">
        <v>152</v>
      </c>
      <c r="AG8" s="116"/>
      <c r="AH8" s="3"/>
      <c r="AI8" s="172" t="s">
        <v>152</v>
      </c>
      <c r="AJ8" s="116"/>
      <c r="AK8" s="3"/>
      <c r="AL8" s="172" t="s">
        <v>152</v>
      </c>
      <c r="AM8" s="116"/>
      <c r="AN8" s="3"/>
      <c r="AO8" s="172" t="s">
        <v>152</v>
      </c>
      <c r="AP8" s="116"/>
      <c r="AQ8" s="3"/>
      <c r="AR8" s="172" t="s">
        <v>152</v>
      </c>
      <c r="AS8" s="116"/>
      <c r="AT8" s="3"/>
      <c r="AU8" s="172" t="s">
        <v>152</v>
      </c>
      <c r="AV8" s="116"/>
      <c r="AW8" s="3"/>
      <c r="AX8" s="172" t="s">
        <v>152</v>
      </c>
      <c r="AY8" s="116"/>
      <c r="AZ8" s="3"/>
      <c r="BA8" s="172" t="s">
        <v>152</v>
      </c>
      <c r="BB8" s="116"/>
      <c r="BC8" s="3"/>
      <c r="BD8" s="172" t="s">
        <v>152</v>
      </c>
      <c r="BE8" s="116"/>
      <c r="BF8" s="3"/>
      <c r="BG8" s="172" t="s">
        <v>152</v>
      </c>
      <c r="BH8" s="116"/>
      <c r="BI8" s="3"/>
      <c r="BJ8" s="172" t="s">
        <v>152</v>
      </c>
      <c r="BK8" s="116"/>
      <c r="BL8" s="3"/>
      <c r="BM8" s="172" t="s">
        <v>152</v>
      </c>
      <c r="BN8" s="116"/>
      <c r="BO8" s="3"/>
      <c r="BP8" s="172" t="s">
        <v>152</v>
      </c>
      <c r="BQ8" s="116"/>
      <c r="BR8" s="3"/>
      <c r="BS8" s="172" t="s">
        <v>152</v>
      </c>
      <c r="BT8" s="116"/>
      <c r="BU8" s="3"/>
      <c r="BV8" s="172" t="s">
        <v>152</v>
      </c>
      <c r="BW8" s="116"/>
      <c r="BX8" s="3"/>
      <c r="BY8" s="172" t="s">
        <v>152</v>
      </c>
      <c r="BZ8" s="116"/>
      <c r="CA8" s="3"/>
      <c r="CB8" s="172" t="s">
        <v>152</v>
      </c>
      <c r="CC8" s="116"/>
      <c r="CD8" s="3"/>
      <c r="CE8" s="172" t="s">
        <v>152</v>
      </c>
      <c r="CF8" s="116"/>
      <c r="CG8" s="3"/>
      <c r="CH8" s="172" t="s">
        <v>152</v>
      </c>
      <c r="CI8" s="116"/>
      <c r="CJ8" s="3"/>
      <c r="CK8" s="172" t="s">
        <v>152</v>
      </c>
      <c r="CL8" s="116"/>
      <c r="CM8" s="3"/>
      <c r="CN8" s="172" t="s">
        <v>152</v>
      </c>
      <c r="CO8" s="116"/>
      <c r="CP8" s="3"/>
      <c r="CQ8" s="172" t="s">
        <v>152</v>
      </c>
      <c r="CR8" s="116"/>
      <c r="CS8" s="3"/>
      <c r="CT8" s="172" t="s">
        <v>152</v>
      </c>
      <c r="CU8" s="116"/>
      <c r="CV8" s="3"/>
      <c r="CW8" s="172" t="s">
        <v>152</v>
      </c>
      <c r="CX8" s="116"/>
      <c r="CY8" s="3"/>
      <c r="CZ8" s="172" t="s">
        <v>152</v>
      </c>
      <c r="DA8" s="116"/>
      <c r="DB8" s="3"/>
      <c r="DC8" s="172" t="s">
        <v>152</v>
      </c>
      <c r="DD8" s="116"/>
      <c r="DE8" s="3"/>
      <c r="DF8" s="172" t="s">
        <v>152</v>
      </c>
      <c r="DG8" s="116"/>
      <c r="DH8" s="3"/>
      <c r="DI8" s="172" t="s">
        <v>152</v>
      </c>
      <c r="DJ8" s="116"/>
      <c r="DK8" s="3"/>
      <c r="DL8" s="172" t="s">
        <v>152</v>
      </c>
      <c r="DM8" s="116"/>
      <c r="DN8" s="3"/>
      <c r="DO8" s="172" t="s">
        <v>152</v>
      </c>
      <c r="DP8" s="116"/>
      <c r="DQ8" s="3"/>
      <c r="DR8" s="172" t="s">
        <v>152</v>
      </c>
      <c r="DS8" s="116"/>
      <c r="DT8" s="3"/>
      <c r="DU8" s="172" t="s">
        <v>152</v>
      </c>
      <c r="DV8" s="116"/>
      <c r="DW8" s="3"/>
      <c r="DX8" s="172" t="s">
        <v>152</v>
      </c>
      <c r="DY8" s="116"/>
      <c r="DZ8" s="3"/>
      <c r="EA8" s="172" t="s">
        <v>152</v>
      </c>
      <c r="EB8" s="116"/>
      <c r="EC8" s="3"/>
      <c r="ED8" s="172" t="s">
        <v>152</v>
      </c>
      <c r="EE8" s="116"/>
      <c r="EF8" s="3"/>
      <c r="EG8" s="172" t="s">
        <v>152</v>
      </c>
      <c r="EH8" s="116"/>
      <c r="EI8" s="3"/>
      <c r="EJ8" s="172" t="s">
        <v>152</v>
      </c>
      <c r="EK8" s="116"/>
      <c r="EL8" s="3"/>
      <c r="EM8" s="172" t="s">
        <v>152</v>
      </c>
      <c r="EN8" s="116"/>
      <c r="EO8" s="3"/>
      <c r="EP8" s="172" t="s">
        <v>152</v>
      </c>
      <c r="EQ8" s="116"/>
      <c r="ER8" s="3"/>
      <c r="ES8" s="172" t="s">
        <v>152</v>
      </c>
      <c r="ET8" s="116"/>
      <c r="EU8" s="3"/>
    </row>
    <row r="9" spans="1:151" ht="13.5" thickBot="1" x14ac:dyDescent="0.25">
      <c r="A9" s="3"/>
      <c r="B9" s="146" t="s">
        <v>153</v>
      </c>
      <c r="C9" s="60">
        <v>0</v>
      </c>
      <c r="D9" s="3"/>
      <c r="E9" s="146" t="s">
        <v>153</v>
      </c>
      <c r="F9" s="60"/>
      <c r="G9" s="3"/>
      <c r="H9" s="146" t="s">
        <v>153</v>
      </c>
      <c r="I9" s="60"/>
      <c r="J9" s="3"/>
      <c r="K9" s="146" t="s">
        <v>153</v>
      </c>
      <c r="L9" s="60"/>
      <c r="M9" s="3"/>
      <c r="N9" s="146" t="s">
        <v>153</v>
      </c>
      <c r="O9" s="60"/>
      <c r="P9" s="3"/>
      <c r="Q9" s="146" t="s">
        <v>153</v>
      </c>
      <c r="R9" s="60"/>
      <c r="S9" s="3"/>
      <c r="T9" s="146" t="s">
        <v>153</v>
      </c>
      <c r="U9" s="60"/>
      <c r="V9" s="3"/>
      <c r="W9" s="146" t="s">
        <v>153</v>
      </c>
      <c r="X9" s="60"/>
      <c r="Y9" s="3"/>
      <c r="Z9" s="146" t="s">
        <v>153</v>
      </c>
      <c r="AA9" s="60"/>
      <c r="AB9" s="3"/>
      <c r="AC9" s="146" t="s">
        <v>153</v>
      </c>
      <c r="AD9" s="60"/>
      <c r="AE9" s="3"/>
      <c r="AF9" s="146" t="s">
        <v>153</v>
      </c>
      <c r="AG9" s="60"/>
      <c r="AH9" s="3"/>
      <c r="AI9" s="146" t="s">
        <v>153</v>
      </c>
      <c r="AJ9" s="60"/>
      <c r="AK9" s="3"/>
      <c r="AL9" s="146" t="s">
        <v>153</v>
      </c>
      <c r="AM9" s="60"/>
      <c r="AN9" s="3"/>
      <c r="AO9" s="146" t="s">
        <v>153</v>
      </c>
      <c r="AP9" s="60"/>
      <c r="AQ9" s="3"/>
      <c r="AR9" s="146" t="s">
        <v>153</v>
      </c>
      <c r="AS9" s="60"/>
      <c r="AT9" s="3"/>
      <c r="AU9" s="146" t="s">
        <v>153</v>
      </c>
      <c r="AV9" s="60"/>
      <c r="AW9" s="3"/>
      <c r="AX9" s="146" t="s">
        <v>153</v>
      </c>
      <c r="AY9" s="60"/>
      <c r="AZ9" s="3"/>
      <c r="BA9" s="146" t="s">
        <v>153</v>
      </c>
      <c r="BB9" s="60"/>
      <c r="BC9" s="3"/>
      <c r="BD9" s="146" t="s">
        <v>153</v>
      </c>
      <c r="BE9" s="60"/>
      <c r="BF9" s="3"/>
      <c r="BG9" s="146" t="s">
        <v>153</v>
      </c>
      <c r="BH9" s="60"/>
      <c r="BI9" s="3"/>
      <c r="BJ9" s="146" t="s">
        <v>153</v>
      </c>
      <c r="BK9" s="60"/>
      <c r="BL9" s="3"/>
      <c r="BM9" s="146" t="s">
        <v>153</v>
      </c>
      <c r="BN9" s="60"/>
      <c r="BO9" s="3"/>
      <c r="BP9" s="146" t="s">
        <v>153</v>
      </c>
      <c r="BQ9" s="60"/>
      <c r="BR9" s="3"/>
      <c r="BS9" s="146" t="s">
        <v>153</v>
      </c>
      <c r="BT9" s="60"/>
      <c r="BU9" s="3"/>
      <c r="BV9" s="146" t="s">
        <v>153</v>
      </c>
      <c r="BW9" s="60"/>
      <c r="BX9" s="3"/>
      <c r="BY9" s="146" t="s">
        <v>153</v>
      </c>
      <c r="BZ9" s="60"/>
      <c r="CA9" s="3"/>
      <c r="CB9" s="146" t="s">
        <v>153</v>
      </c>
      <c r="CC9" s="60"/>
      <c r="CD9" s="3"/>
      <c r="CE9" s="146" t="s">
        <v>153</v>
      </c>
      <c r="CF9" s="60"/>
      <c r="CG9" s="3"/>
      <c r="CH9" s="146" t="s">
        <v>153</v>
      </c>
      <c r="CI9" s="60"/>
      <c r="CJ9" s="3"/>
      <c r="CK9" s="146" t="s">
        <v>153</v>
      </c>
      <c r="CL9" s="60"/>
      <c r="CM9" s="3"/>
      <c r="CN9" s="146" t="s">
        <v>153</v>
      </c>
      <c r="CO9" s="60"/>
      <c r="CP9" s="3"/>
      <c r="CQ9" s="146" t="s">
        <v>153</v>
      </c>
      <c r="CR9" s="60"/>
      <c r="CS9" s="3"/>
      <c r="CT9" s="146" t="s">
        <v>153</v>
      </c>
      <c r="CU9" s="60"/>
      <c r="CV9" s="3"/>
      <c r="CW9" s="146" t="s">
        <v>153</v>
      </c>
      <c r="CX9" s="60"/>
      <c r="CY9" s="3"/>
      <c r="CZ9" s="146" t="s">
        <v>153</v>
      </c>
      <c r="DA9" s="60"/>
      <c r="DB9" s="3"/>
      <c r="DC9" s="146" t="s">
        <v>153</v>
      </c>
      <c r="DD9" s="60"/>
      <c r="DE9" s="3"/>
      <c r="DF9" s="146" t="s">
        <v>153</v>
      </c>
      <c r="DG9" s="60"/>
      <c r="DH9" s="3"/>
      <c r="DI9" s="146" t="s">
        <v>153</v>
      </c>
      <c r="DJ9" s="60"/>
      <c r="DK9" s="3"/>
      <c r="DL9" s="146" t="s">
        <v>153</v>
      </c>
      <c r="DM9" s="60"/>
      <c r="DN9" s="3"/>
      <c r="DO9" s="146" t="s">
        <v>153</v>
      </c>
      <c r="DP9" s="60"/>
      <c r="DQ9" s="3"/>
      <c r="DR9" s="146" t="s">
        <v>153</v>
      </c>
      <c r="DS9" s="60"/>
      <c r="DT9" s="3"/>
      <c r="DU9" s="146" t="s">
        <v>153</v>
      </c>
      <c r="DV9" s="60"/>
      <c r="DW9" s="3"/>
      <c r="DX9" s="146" t="s">
        <v>153</v>
      </c>
      <c r="DY9" s="60"/>
      <c r="DZ9" s="3"/>
      <c r="EA9" s="146" t="s">
        <v>153</v>
      </c>
      <c r="EB9" s="60"/>
      <c r="EC9" s="3"/>
      <c r="ED9" s="146" t="s">
        <v>153</v>
      </c>
      <c r="EE9" s="60"/>
      <c r="EF9" s="3"/>
      <c r="EG9" s="146" t="s">
        <v>153</v>
      </c>
      <c r="EH9" s="60"/>
      <c r="EI9" s="3"/>
      <c r="EJ9" s="146" t="s">
        <v>153</v>
      </c>
      <c r="EK9" s="60"/>
      <c r="EL9" s="3"/>
      <c r="EM9" s="146" t="s">
        <v>153</v>
      </c>
      <c r="EN9" s="60"/>
      <c r="EO9" s="3"/>
      <c r="EP9" s="146" t="s">
        <v>153</v>
      </c>
      <c r="EQ9" s="60"/>
      <c r="ER9" s="3"/>
      <c r="ES9" s="146" t="s">
        <v>153</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145</v>
      </c>
      <c r="C11" s="146" t="s">
        <v>154</v>
      </c>
      <c r="D11" s="3"/>
      <c r="E11" s="174" t="s">
        <v>145</v>
      </c>
      <c r="F11" s="146" t="s">
        <v>154</v>
      </c>
      <c r="G11" s="3"/>
      <c r="H11" s="174" t="s">
        <v>145</v>
      </c>
      <c r="I11" s="146" t="s">
        <v>154</v>
      </c>
      <c r="J11" s="3"/>
      <c r="K11" s="174" t="s">
        <v>145</v>
      </c>
      <c r="L11" s="146" t="s">
        <v>154</v>
      </c>
      <c r="M11" s="3"/>
      <c r="N11" s="174" t="s">
        <v>145</v>
      </c>
      <c r="O11" s="146" t="s">
        <v>154</v>
      </c>
      <c r="P11" s="3"/>
      <c r="Q11" s="174" t="s">
        <v>145</v>
      </c>
      <c r="R11" s="146" t="s">
        <v>154</v>
      </c>
      <c r="S11" s="3"/>
      <c r="T11" s="174" t="s">
        <v>145</v>
      </c>
      <c r="U11" s="146" t="s">
        <v>154</v>
      </c>
      <c r="V11" s="3"/>
      <c r="W11" s="174" t="s">
        <v>145</v>
      </c>
      <c r="X11" s="146" t="s">
        <v>154</v>
      </c>
      <c r="Y11" s="3"/>
      <c r="Z11" s="174" t="s">
        <v>145</v>
      </c>
      <c r="AA11" s="146" t="s">
        <v>154</v>
      </c>
      <c r="AB11" s="3"/>
      <c r="AC11" s="174" t="s">
        <v>145</v>
      </c>
      <c r="AD11" s="146" t="s">
        <v>154</v>
      </c>
      <c r="AE11" s="3"/>
      <c r="AF11" s="174" t="s">
        <v>145</v>
      </c>
      <c r="AG11" s="146" t="s">
        <v>154</v>
      </c>
      <c r="AH11" s="3"/>
      <c r="AI11" s="174" t="s">
        <v>145</v>
      </c>
      <c r="AJ11" s="146" t="s">
        <v>154</v>
      </c>
      <c r="AK11" s="3"/>
      <c r="AL11" s="174" t="s">
        <v>145</v>
      </c>
      <c r="AM11" s="146" t="s">
        <v>154</v>
      </c>
      <c r="AN11" s="3"/>
      <c r="AO11" s="174" t="s">
        <v>145</v>
      </c>
      <c r="AP11" s="146" t="s">
        <v>154</v>
      </c>
      <c r="AQ11" s="3"/>
      <c r="AR11" s="174" t="s">
        <v>145</v>
      </c>
      <c r="AS11" s="146" t="s">
        <v>154</v>
      </c>
      <c r="AT11" s="3"/>
      <c r="AU11" s="174" t="s">
        <v>145</v>
      </c>
      <c r="AV11" s="146" t="s">
        <v>154</v>
      </c>
      <c r="AW11" s="3"/>
      <c r="AX11" s="174" t="s">
        <v>145</v>
      </c>
      <c r="AY11" s="146" t="s">
        <v>154</v>
      </c>
      <c r="AZ11" s="3"/>
      <c r="BA11" s="174" t="s">
        <v>145</v>
      </c>
      <c r="BB11" s="146" t="s">
        <v>154</v>
      </c>
      <c r="BC11" s="3"/>
      <c r="BD11" s="174" t="s">
        <v>145</v>
      </c>
      <c r="BE11" s="146" t="s">
        <v>154</v>
      </c>
      <c r="BF11" s="3"/>
      <c r="BG11" s="174" t="s">
        <v>145</v>
      </c>
      <c r="BH11" s="146" t="s">
        <v>154</v>
      </c>
      <c r="BI11" s="3"/>
      <c r="BJ11" s="174" t="s">
        <v>145</v>
      </c>
      <c r="BK11" s="146" t="s">
        <v>154</v>
      </c>
      <c r="BL11" s="3"/>
      <c r="BM11" s="174" t="s">
        <v>145</v>
      </c>
      <c r="BN11" s="146" t="s">
        <v>154</v>
      </c>
      <c r="BO11" s="3"/>
      <c r="BP11" s="174" t="s">
        <v>145</v>
      </c>
      <c r="BQ11" s="146" t="s">
        <v>154</v>
      </c>
      <c r="BR11" s="3"/>
      <c r="BS11" s="174" t="s">
        <v>145</v>
      </c>
      <c r="BT11" s="146" t="s">
        <v>154</v>
      </c>
      <c r="BU11" s="3"/>
      <c r="BV11" s="174" t="s">
        <v>145</v>
      </c>
      <c r="BW11" s="146" t="s">
        <v>154</v>
      </c>
      <c r="BX11" s="3"/>
      <c r="BY11" s="174" t="s">
        <v>145</v>
      </c>
      <c r="BZ11" s="146" t="s">
        <v>154</v>
      </c>
      <c r="CA11" s="3"/>
      <c r="CB11" s="174" t="s">
        <v>145</v>
      </c>
      <c r="CC11" s="146" t="s">
        <v>154</v>
      </c>
      <c r="CD11" s="3"/>
      <c r="CE11" s="174" t="s">
        <v>145</v>
      </c>
      <c r="CF11" s="146" t="s">
        <v>154</v>
      </c>
      <c r="CG11" s="3"/>
      <c r="CH11" s="174" t="s">
        <v>145</v>
      </c>
      <c r="CI11" s="146" t="s">
        <v>154</v>
      </c>
      <c r="CJ11" s="3"/>
      <c r="CK11" s="174" t="s">
        <v>145</v>
      </c>
      <c r="CL11" s="146" t="s">
        <v>154</v>
      </c>
      <c r="CM11" s="3"/>
      <c r="CN11" s="174" t="s">
        <v>145</v>
      </c>
      <c r="CO11" s="146" t="s">
        <v>154</v>
      </c>
      <c r="CP11" s="3"/>
      <c r="CQ11" s="174" t="s">
        <v>145</v>
      </c>
      <c r="CR11" s="146" t="s">
        <v>154</v>
      </c>
      <c r="CS11" s="3"/>
      <c r="CT11" s="174" t="s">
        <v>145</v>
      </c>
      <c r="CU11" s="146" t="s">
        <v>154</v>
      </c>
      <c r="CV11" s="3"/>
      <c r="CW11" s="174" t="s">
        <v>145</v>
      </c>
      <c r="CX11" s="146" t="s">
        <v>154</v>
      </c>
      <c r="CY11" s="3"/>
      <c r="CZ11" s="174" t="s">
        <v>145</v>
      </c>
      <c r="DA11" s="146" t="s">
        <v>154</v>
      </c>
      <c r="DB11" s="3"/>
      <c r="DC11" s="174" t="s">
        <v>145</v>
      </c>
      <c r="DD11" s="146" t="s">
        <v>154</v>
      </c>
      <c r="DE11" s="3"/>
      <c r="DF11" s="174" t="s">
        <v>145</v>
      </c>
      <c r="DG11" s="146" t="s">
        <v>154</v>
      </c>
      <c r="DH11" s="3"/>
      <c r="DI11" s="174" t="s">
        <v>145</v>
      </c>
      <c r="DJ11" s="146" t="s">
        <v>154</v>
      </c>
      <c r="DK11" s="3"/>
      <c r="DL11" s="174" t="s">
        <v>145</v>
      </c>
      <c r="DM11" s="146" t="s">
        <v>154</v>
      </c>
      <c r="DN11" s="3"/>
      <c r="DO11" s="174" t="s">
        <v>145</v>
      </c>
      <c r="DP11" s="146" t="s">
        <v>154</v>
      </c>
      <c r="DQ11" s="3"/>
      <c r="DR11" s="174" t="s">
        <v>145</v>
      </c>
      <c r="DS11" s="146" t="s">
        <v>154</v>
      </c>
      <c r="DT11" s="3"/>
      <c r="DU11" s="174" t="s">
        <v>145</v>
      </c>
      <c r="DV11" s="146" t="s">
        <v>154</v>
      </c>
      <c r="DW11" s="3"/>
      <c r="DX11" s="174" t="s">
        <v>145</v>
      </c>
      <c r="DY11" s="146" t="s">
        <v>154</v>
      </c>
      <c r="DZ11" s="3"/>
      <c r="EA11" s="174" t="s">
        <v>145</v>
      </c>
      <c r="EB11" s="146" t="s">
        <v>154</v>
      </c>
      <c r="EC11" s="3"/>
      <c r="ED11" s="174" t="s">
        <v>145</v>
      </c>
      <c r="EE11" s="146" t="s">
        <v>154</v>
      </c>
      <c r="EF11" s="3"/>
      <c r="EG11" s="174" t="s">
        <v>145</v>
      </c>
      <c r="EH11" s="146" t="s">
        <v>154</v>
      </c>
      <c r="EI11" s="3"/>
      <c r="EJ11" s="174" t="s">
        <v>145</v>
      </c>
      <c r="EK11" s="146" t="s">
        <v>154</v>
      </c>
      <c r="EL11" s="3"/>
      <c r="EM11" s="174" t="s">
        <v>145</v>
      </c>
      <c r="EN11" s="146" t="s">
        <v>154</v>
      </c>
      <c r="EO11" s="3"/>
      <c r="EP11" s="174" t="s">
        <v>145</v>
      </c>
      <c r="EQ11" s="146" t="s">
        <v>154</v>
      </c>
      <c r="ER11" s="3"/>
      <c r="ES11" s="174" t="s">
        <v>145</v>
      </c>
      <c r="ET11" s="146" t="s">
        <v>154</v>
      </c>
      <c r="EU11" s="3"/>
    </row>
    <row r="12" spans="1:151" x14ac:dyDescent="0.2">
      <c r="A12" s="3"/>
      <c r="B12" s="107" t="s">
        <v>161</v>
      </c>
      <c r="C12" s="104">
        <v>1</v>
      </c>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155</v>
      </c>
      <c r="C22" s="121" t="s">
        <v>124</v>
      </c>
      <c r="D22" s="3"/>
      <c r="E22" s="88" t="s">
        <v>155</v>
      </c>
      <c r="F22" s="121" t="s">
        <v>124</v>
      </c>
      <c r="G22" s="3"/>
      <c r="H22" s="88" t="s">
        <v>155</v>
      </c>
      <c r="I22" s="121" t="s">
        <v>124</v>
      </c>
      <c r="J22" s="3"/>
      <c r="K22" s="88" t="s">
        <v>155</v>
      </c>
      <c r="L22" s="121" t="s">
        <v>124</v>
      </c>
      <c r="M22" s="3"/>
      <c r="N22" s="88" t="s">
        <v>155</v>
      </c>
      <c r="O22" s="121" t="s">
        <v>124</v>
      </c>
      <c r="P22" s="3"/>
      <c r="Q22" s="88" t="s">
        <v>155</v>
      </c>
      <c r="R22" s="121" t="s">
        <v>124</v>
      </c>
      <c r="S22" s="3"/>
      <c r="T22" s="88" t="s">
        <v>155</v>
      </c>
      <c r="U22" s="121" t="s">
        <v>124</v>
      </c>
      <c r="V22" s="3"/>
      <c r="W22" s="88" t="s">
        <v>155</v>
      </c>
      <c r="X22" s="121" t="s">
        <v>124</v>
      </c>
      <c r="Y22" s="3"/>
      <c r="Z22" s="88" t="s">
        <v>155</v>
      </c>
      <c r="AA22" s="121" t="s">
        <v>124</v>
      </c>
      <c r="AB22" s="3"/>
      <c r="AC22" s="88" t="s">
        <v>155</v>
      </c>
      <c r="AD22" s="121" t="s">
        <v>124</v>
      </c>
      <c r="AE22" s="3"/>
      <c r="AF22" s="88" t="s">
        <v>155</v>
      </c>
      <c r="AG22" s="121" t="s">
        <v>124</v>
      </c>
      <c r="AH22" s="3"/>
      <c r="AI22" s="88" t="s">
        <v>155</v>
      </c>
      <c r="AJ22" s="121" t="s">
        <v>124</v>
      </c>
      <c r="AK22" s="3"/>
      <c r="AL22" s="88" t="s">
        <v>155</v>
      </c>
      <c r="AM22" s="121" t="s">
        <v>124</v>
      </c>
      <c r="AN22" s="3"/>
      <c r="AO22" s="88" t="s">
        <v>155</v>
      </c>
      <c r="AP22" s="121" t="s">
        <v>124</v>
      </c>
      <c r="AQ22" s="3"/>
      <c r="AR22" s="88" t="s">
        <v>155</v>
      </c>
      <c r="AS22" s="121" t="s">
        <v>124</v>
      </c>
      <c r="AT22" s="3"/>
      <c r="AU22" s="88" t="s">
        <v>155</v>
      </c>
      <c r="AV22" s="121" t="s">
        <v>124</v>
      </c>
      <c r="AW22" s="3"/>
      <c r="AX22" s="88" t="s">
        <v>155</v>
      </c>
      <c r="AY22" s="121" t="s">
        <v>124</v>
      </c>
      <c r="AZ22" s="3"/>
      <c r="BA22" s="88" t="s">
        <v>155</v>
      </c>
      <c r="BB22" s="121" t="s">
        <v>124</v>
      </c>
      <c r="BC22" s="3"/>
      <c r="BD22" s="88" t="s">
        <v>155</v>
      </c>
      <c r="BE22" s="121" t="s">
        <v>124</v>
      </c>
      <c r="BF22" s="3"/>
      <c r="BG22" s="88" t="s">
        <v>155</v>
      </c>
      <c r="BH22" s="121" t="s">
        <v>124</v>
      </c>
      <c r="BI22" s="3"/>
      <c r="BJ22" s="88" t="s">
        <v>155</v>
      </c>
      <c r="BK22" s="121" t="s">
        <v>124</v>
      </c>
      <c r="BL22" s="3"/>
      <c r="BM22" s="88" t="s">
        <v>155</v>
      </c>
      <c r="BN22" s="121" t="s">
        <v>124</v>
      </c>
      <c r="BO22" s="3"/>
      <c r="BP22" s="88" t="s">
        <v>155</v>
      </c>
      <c r="BQ22" s="121" t="s">
        <v>124</v>
      </c>
      <c r="BR22" s="3"/>
      <c r="BS22" s="88" t="s">
        <v>155</v>
      </c>
      <c r="BT22" s="121" t="s">
        <v>124</v>
      </c>
      <c r="BU22" s="3"/>
      <c r="BV22" s="88" t="s">
        <v>155</v>
      </c>
      <c r="BW22" s="121" t="s">
        <v>124</v>
      </c>
      <c r="BX22" s="3"/>
      <c r="BY22" s="88" t="s">
        <v>155</v>
      </c>
      <c r="BZ22" s="121" t="s">
        <v>124</v>
      </c>
      <c r="CA22" s="3"/>
      <c r="CB22" s="88" t="s">
        <v>155</v>
      </c>
      <c r="CC22" s="121" t="s">
        <v>124</v>
      </c>
      <c r="CD22" s="3"/>
      <c r="CE22" s="88" t="s">
        <v>155</v>
      </c>
      <c r="CF22" s="121" t="s">
        <v>124</v>
      </c>
      <c r="CG22" s="3"/>
      <c r="CH22" s="88" t="s">
        <v>155</v>
      </c>
      <c r="CI22" s="121" t="s">
        <v>124</v>
      </c>
      <c r="CJ22" s="3"/>
      <c r="CK22" s="88" t="s">
        <v>155</v>
      </c>
      <c r="CL22" s="121" t="s">
        <v>124</v>
      </c>
      <c r="CM22" s="3"/>
      <c r="CN22" s="88" t="s">
        <v>155</v>
      </c>
      <c r="CO22" s="121" t="s">
        <v>124</v>
      </c>
      <c r="CP22" s="3"/>
      <c r="CQ22" s="88" t="s">
        <v>155</v>
      </c>
      <c r="CR22" s="121" t="s">
        <v>124</v>
      </c>
      <c r="CS22" s="3"/>
      <c r="CT22" s="88" t="s">
        <v>155</v>
      </c>
      <c r="CU22" s="121" t="s">
        <v>124</v>
      </c>
      <c r="CV22" s="3"/>
      <c r="CW22" s="88" t="s">
        <v>155</v>
      </c>
      <c r="CX22" s="121" t="s">
        <v>124</v>
      </c>
      <c r="CY22" s="3"/>
      <c r="CZ22" s="88" t="s">
        <v>155</v>
      </c>
      <c r="DA22" s="121" t="s">
        <v>124</v>
      </c>
      <c r="DB22" s="3"/>
      <c r="DC22" s="88" t="s">
        <v>155</v>
      </c>
      <c r="DD22" s="121" t="s">
        <v>124</v>
      </c>
      <c r="DE22" s="3"/>
      <c r="DF22" s="88" t="s">
        <v>155</v>
      </c>
      <c r="DG22" s="121" t="s">
        <v>124</v>
      </c>
      <c r="DH22" s="3"/>
      <c r="DI22" s="88" t="s">
        <v>155</v>
      </c>
      <c r="DJ22" s="121" t="s">
        <v>124</v>
      </c>
      <c r="DK22" s="3"/>
      <c r="DL22" s="88" t="s">
        <v>155</v>
      </c>
      <c r="DM22" s="121" t="s">
        <v>124</v>
      </c>
      <c r="DN22" s="3"/>
      <c r="DO22" s="88" t="s">
        <v>155</v>
      </c>
      <c r="DP22" s="121" t="s">
        <v>124</v>
      </c>
      <c r="DQ22" s="3"/>
      <c r="DR22" s="88" t="s">
        <v>155</v>
      </c>
      <c r="DS22" s="121" t="s">
        <v>124</v>
      </c>
      <c r="DT22" s="3"/>
      <c r="DU22" s="88" t="s">
        <v>155</v>
      </c>
      <c r="DV22" s="121" t="s">
        <v>124</v>
      </c>
      <c r="DW22" s="3"/>
      <c r="DX22" s="88" t="s">
        <v>155</v>
      </c>
      <c r="DY22" s="121" t="s">
        <v>124</v>
      </c>
      <c r="DZ22" s="3"/>
      <c r="EA22" s="88" t="s">
        <v>155</v>
      </c>
      <c r="EB22" s="121" t="s">
        <v>124</v>
      </c>
      <c r="EC22" s="3"/>
      <c r="ED22" s="88" t="s">
        <v>155</v>
      </c>
      <c r="EE22" s="121" t="s">
        <v>124</v>
      </c>
      <c r="EF22" s="3"/>
      <c r="EG22" s="88" t="s">
        <v>155</v>
      </c>
      <c r="EH22" s="121" t="s">
        <v>124</v>
      </c>
      <c r="EI22" s="3"/>
      <c r="EJ22" s="88" t="s">
        <v>155</v>
      </c>
      <c r="EK22" s="121" t="s">
        <v>124</v>
      </c>
      <c r="EL22" s="3"/>
      <c r="EM22" s="88" t="s">
        <v>155</v>
      </c>
      <c r="EN22" s="121" t="s">
        <v>124</v>
      </c>
      <c r="EO22" s="3"/>
      <c r="EP22" s="88" t="s">
        <v>155</v>
      </c>
      <c r="EQ22" s="121" t="s">
        <v>124</v>
      </c>
      <c r="ER22" s="3"/>
      <c r="ES22" s="88" t="s">
        <v>155</v>
      </c>
      <c r="ET22" s="121" t="s">
        <v>124</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F22">
      <formula1>BufferDetailsYesNo</formula1>
    </dataValidation>
    <dataValidation type="list" allowBlank="1" sqref="C22">
      <formula1>BufferDetailsYesNo</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C12">
      <formula1>WSNumOutputObjects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3" sqref="B3"/>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156</v>
      </c>
      <c r="C9" s="146" t="s">
        <v>157</v>
      </c>
      <c r="D9" s="3"/>
      <c r="E9" s="174" t="s">
        <v>156</v>
      </c>
      <c r="F9" s="146" t="s">
        <v>157</v>
      </c>
      <c r="G9" s="3"/>
      <c r="H9" s="174" t="s">
        <v>156</v>
      </c>
      <c r="I9" s="146" t="s">
        <v>157</v>
      </c>
      <c r="J9" s="3"/>
      <c r="K9" s="174" t="s">
        <v>156</v>
      </c>
      <c r="L9" s="146" t="s">
        <v>157</v>
      </c>
      <c r="M9" s="3"/>
      <c r="N9" s="174" t="s">
        <v>156</v>
      </c>
      <c r="O9" s="146" t="s">
        <v>157</v>
      </c>
      <c r="P9" s="3"/>
      <c r="Q9" s="174" t="s">
        <v>156</v>
      </c>
      <c r="R9" s="146" t="s">
        <v>157</v>
      </c>
      <c r="S9" s="3"/>
      <c r="T9" s="174" t="s">
        <v>156</v>
      </c>
      <c r="U9" s="146" t="s">
        <v>157</v>
      </c>
      <c r="V9" s="3"/>
      <c r="W9" s="174" t="s">
        <v>156</v>
      </c>
      <c r="X9" s="146" t="s">
        <v>157</v>
      </c>
      <c r="Y9" s="3"/>
      <c r="Z9" s="174" t="s">
        <v>156</v>
      </c>
      <c r="AA9" s="146" t="s">
        <v>157</v>
      </c>
      <c r="AB9" s="3"/>
      <c r="AC9" s="174" t="s">
        <v>156</v>
      </c>
      <c r="AD9" s="146" t="s">
        <v>157</v>
      </c>
      <c r="AE9" s="3"/>
      <c r="AF9" s="174" t="s">
        <v>156</v>
      </c>
      <c r="AG9" s="146" t="s">
        <v>157</v>
      </c>
      <c r="AH9" s="3"/>
      <c r="AI9" s="174" t="s">
        <v>156</v>
      </c>
      <c r="AJ9" s="146" t="s">
        <v>157</v>
      </c>
      <c r="AK9" s="3"/>
      <c r="AL9" s="174" t="s">
        <v>156</v>
      </c>
      <c r="AM9" s="146" t="s">
        <v>157</v>
      </c>
      <c r="AN9" s="3"/>
      <c r="AO9" s="174" t="s">
        <v>156</v>
      </c>
      <c r="AP9" s="146" t="s">
        <v>157</v>
      </c>
      <c r="AQ9" s="3"/>
      <c r="AR9" s="174" t="s">
        <v>156</v>
      </c>
      <c r="AS9" s="146" t="s">
        <v>157</v>
      </c>
      <c r="AT9" s="3"/>
      <c r="AU9" s="174" t="s">
        <v>156</v>
      </c>
      <c r="AV9" s="146" t="s">
        <v>157</v>
      </c>
      <c r="AW9" s="3"/>
      <c r="AX9" s="174" t="s">
        <v>156</v>
      </c>
      <c r="AY9" s="146" t="s">
        <v>157</v>
      </c>
      <c r="AZ9" s="3"/>
      <c r="BA9" s="174" t="s">
        <v>156</v>
      </c>
      <c r="BB9" s="146" t="s">
        <v>157</v>
      </c>
      <c r="BC9" s="3"/>
      <c r="BD9" s="174" t="s">
        <v>156</v>
      </c>
      <c r="BE9" s="146" t="s">
        <v>157</v>
      </c>
      <c r="BF9" s="3"/>
      <c r="BG9" s="174" t="s">
        <v>156</v>
      </c>
      <c r="BH9" s="146" t="s">
        <v>157</v>
      </c>
      <c r="BI9" s="3"/>
      <c r="BJ9" s="174" t="s">
        <v>156</v>
      </c>
      <c r="BK9" s="146" t="s">
        <v>157</v>
      </c>
      <c r="BL9" s="3"/>
      <c r="BM9" s="174" t="s">
        <v>156</v>
      </c>
      <c r="BN9" s="146" t="s">
        <v>157</v>
      </c>
      <c r="BO9" s="3"/>
      <c r="BP9" s="174" t="s">
        <v>156</v>
      </c>
      <c r="BQ9" s="146" t="s">
        <v>157</v>
      </c>
      <c r="BR9" s="3"/>
      <c r="BS9" s="174" t="s">
        <v>156</v>
      </c>
      <c r="BT9" s="146" t="s">
        <v>157</v>
      </c>
      <c r="BU9" s="3"/>
      <c r="BV9" s="174" t="s">
        <v>156</v>
      </c>
      <c r="BW9" s="146" t="s">
        <v>157</v>
      </c>
      <c r="BX9" s="3"/>
      <c r="BY9" s="174" t="s">
        <v>156</v>
      </c>
      <c r="BZ9" s="146" t="s">
        <v>157</v>
      </c>
      <c r="CA9" s="3"/>
      <c r="CB9" s="174" t="s">
        <v>156</v>
      </c>
      <c r="CC9" s="146" t="s">
        <v>157</v>
      </c>
      <c r="CD9" s="3"/>
      <c r="CE9" s="174" t="s">
        <v>156</v>
      </c>
      <c r="CF9" s="146" t="s">
        <v>157</v>
      </c>
      <c r="CG9" s="3"/>
      <c r="CH9" s="174" t="s">
        <v>156</v>
      </c>
      <c r="CI9" s="146" t="s">
        <v>157</v>
      </c>
      <c r="CJ9" s="3"/>
      <c r="CK9" s="174" t="s">
        <v>156</v>
      </c>
      <c r="CL9" s="146" t="s">
        <v>157</v>
      </c>
      <c r="CM9" s="3"/>
      <c r="CN9" s="174" t="s">
        <v>156</v>
      </c>
      <c r="CO9" s="146" t="s">
        <v>157</v>
      </c>
      <c r="CP9" s="3"/>
      <c r="CQ9" s="174" t="s">
        <v>156</v>
      </c>
      <c r="CR9" s="146" t="s">
        <v>157</v>
      </c>
      <c r="CS9" s="3"/>
      <c r="CT9" s="174" t="s">
        <v>156</v>
      </c>
      <c r="CU9" s="146" t="s">
        <v>157</v>
      </c>
      <c r="CV9" s="3"/>
      <c r="CW9" s="174" t="s">
        <v>156</v>
      </c>
      <c r="CX9" s="146" t="s">
        <v>157</v>
      </c>
      <c r="CY9" s="3"/>
      <c r="CZ9" s="174" t="s">
        <v>156</v>
      </c>
      <c r="DA9" s="146" t="s">
        <v>157</v>
      </c>
      <c r="DB9" s="3"/>
      <c r="DC9" s="174" t="s">
        <v>156</v>
      </c>
      <c r="DD9" s="146" t="s">
        <v>157</v>
      </c>
      <c r="DE9" s="3"/>
      <c r="DF9" s="174" t="s">
        <v>156</v>
      </c>
      <c r="DG9" s="146" t="s">
        <v>157</v>
      </c>
      <c r="DH9" s="3"/>
      <c r="DI9" s="174" t="s">
        <v>156</v>
      </c>
      <c r="DJ9" s="146" t="s">
        <v>157</v>
      </c>
      <c r="DK9" s="3"/>
      <c r="DL9" s="174" t="s">
        <v>156</v>
      </c>
      <c r="DM9" s="146" t="s">
        <v>157</v>
      </c>
      <c r="DN9" s="3"/>
      <c r="DO9" s="174" t="s">
        <v>156</v>
      </c>
      <c r="DP9" s="146" t="s">
        <v>157</v>
      </c>
      <c r="DQ9" s="3"/>
      <c r="DR9" s="174" t="s">
        <v>156</v>
      </c>
      <c r="DS9" s="146" t="s">
        <v>157</v>
      </c>
      <c r="DT9" s="3"/>
      <c r="DU9" s="174" t="s">
        <v>156</v>
      </c>
      <c r="DV9" s="146" t="s">
        <v>157</v>
      </c>
      <c r="DW9" s="3"/>
      <c r="DX9" s="174" t="s">
        <v>156</v>
      </c>
      <c r="DY9" s="146" t="s">
        <v>157</v>
      </c>
      <c r="DZ9" s="3"/>
      <c r="EA9" s="174" t="s">
        <v>156</v>
      </c>
      <c r="EB9" s="146" t="s">
        <v>157</v>
      </c>
      <c r="EC9" s="3"/>
      <c r="ED9" s="174" t="s">
        <v>156</v>
      </c>
      <c r="EE9" s="146" t="s">
        <v>157</v>
      </c>
      <c r="EF9" s="3"/>
      <c r="EG9" s="174" t="s">
        <v>156</v>
      </c>
      <c r="EH9" s="146" t="s">
        <v>157</v>
      </c>
      <c r="EI9" s="3"/>
      <c r="EJ9" s="174" t="s">
        <v>156</v>
      </c>
      <c r="EK9" s="146" t="s">
        <v>157</v>
      </c>
      <c r="EL9" s="3"/>
      <c r="EM9" s="174" t="s">
        <v>156</v>
      </c>
      <c r="EN9" s="146" t="s">
        <v>157</v>
      </c>
      <c r="EO9" s="3"/>
      <c r="EP9" s="174" t="s">
        <v>156</v>
      </c>
      <c r="EQ9" s="146" t="s">
        <v>157</v>
      </c>
      <c r="ER9" s="3"/>
      <c r="ES9" s="174" t="s">
        <v>156</v>
      </c>
      <c r="ET9" s="146" t="s">
        <v>157</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C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0">
      <formula1>WSNumOutputObjects</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1" sqref="C11"/>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Truck</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f>IF(INDEX(Entrances!$A$6:$EV$21,'Data Val lists'!$A7,'Data Val lists'!D$4)="","",INDEX(Entrances!$A$6:$EV$21,'Data Val lists'!$A7,'Data Val lists'!D$4))</f>
        <v>24</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200</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Storage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Purchase</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Exp(0.25)</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f>IF(INDEX(Exits!$A$6:$EV$9,'Data Val lists'!$A29,'Data Val lists'!D$25)="","",INDEX(Exits!$A$6:$EV$9,'Data Val lists'!$A29,'Data Val lists'!D$25))</f>
        <v>1</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Storage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f>IF(INDEX(Buffers!$A$6:$EV$21,'Data Val lists'!$A37,'Data Val lists'!D$34)="","",INDEX(Buffers!$A$6:$EV$21,'Data Val lists'!$A37,'Data Val lists'!D$34))</f>
        <v>70</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Purchase</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
      </c>
      <c r="D80" s="109" t="str">
        <f>IF(INDEX('Work Stations'!$A$6:$IR$20,'Data Val lists'!$A80,'Data Val lists'!D$74)="","",INDEX('Work Stations'!$A$6:$IR$20,'Data Val lists'!$A80,'Data Val lists'!D$74))</f>
        <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125</v>
      </c>
      <c r="AJ92" s="103" t="s">
        <v>137</v>
      </c>
    </row>
    <row r="93" spans="1:251" x14ac:dyDescent="0.2">
      <c r="A93" s="103" t="s">
        <v>100</v>
      </c>
      <c r="C93">
        <v>2</v>
      </c>
      <c r="D93">
        <v>3</v>
      </c>
      <c r="E93" s="110" t="str">
        <f>INDEX($B$5:$EU$20,C93,D93)</f>
        <v>Truck</v>
      </c>
      <c r="F93" t="s">
        <v>103</v>
      </c>
      <c r="G93" t="str">
        <f>IF(AND(COUNTBLANK($F$93:F93)=1,COUNTBLANK(F94)=0),F94,IF(COUNTBLANK($F$93:F93)=0,F93,""))</f>
        <v>Purchase</v>
      </c>
      <c r="I93" s="89" t="s">
        <v>130</v>
      </c>
      <c r="N93" s="89" t="s">
        <v>130</v>
      </c>
      <c r="R93" s="89" t="s">
        <v>130</v>
      </c>
      <c r="X93" s="89" t="s">
        <v>106</v>
      </c>
      <c r="AB93" s="89" t="s">
        <v>130</v>
      </c>
      <c r="AG93" s="89" t="s">
        <v>120</v>
      </c>
      <c r="AJ93" s="89" t="s">
        <v>106</v>
      </c>
    </row>
    <row r="94" spans="1:251" x14ac:dyDescent="0.2">
      <c r="C94">
        <v>2</v>
      </c>
      <c r="D94">
        <f>3+D93</f>
        <v>6</v>
      </c>
      <c r="E94" s="110" t="str">
        <f t="shared" ref="E94:E157" si="0">INDEX($B$5:$EU$20,C94,D94)</f>
        <v/>
      </c>
      <c r="F94" t="s">
        <v>161</v>
      </c>
      <c r="G94" t="str">
        <f>IF(AND(COUNTBLANK($F$93:F94)=1,COUNTBLANK(F95)=0),F95,IF(COUNTBLANK($F$93:F94)=0,F94,""))</f>
        <v>Storage</v>
      </c>
      <c r="I94" s="89" t="s">
        <v>131</v>
      </c>
      <c r="N94" s="89" t="s">
        <v>131</v>
      </c>
      <c r="Q94" s="89"/>
      <c r="R94" s="89" t="s">
        <v>131</v>
      </c>
      <c r="X94" s="89" t="s">
        <v>113</v>
      </c>
      <c r="AB94" s="89" t="s">
        <v>131</v>
      </c>
      <c r="AG94" s="89" t="s">
        <v>124</v>
      </c>
      <c r="AJ94" s="89" t="s">
        <v>134</v>
      </c>
    </row>
    <row r="95" spans="1:251" x14ac:dyDescent="0.2">
      <c r="C95">
        <v>2</v>
      </c>
      <c r="D95">
        <f t="shared" ref="D95:D142" si="1">3+D94</f>
        <v>9</v>
      </c>
      <c r="E95" s="110" t="str">
        <f t="shared" si="0"/>
        <v/>
      </c>
      <c r="F95" t="s">
        <v>160</v>
      </c>
      <c r="G95" t="str">
        <f>IF(AND(COUNTBLANK($F$93:F95)=1,COUNTBLANK(F96)=0),F96,IF(COUNTBLANK($F$93:F95)=0,F95,""))</f>
        <v>Truck</v>
      </c>
      <c r="I95" s="89" t="s">
        <v>132</v>
      </c>
      <c r="N95" s="89" t="s">
        <v>132</v>
      </c>
      <c r="O95" s="89"/>
      <c r="Q95" s="89"/>
      <c r="R95" s="89" t="s">
        <v>132</v>
      </c>
      <c r="X95" s="89" t="s">
        <v>134</v>
      </c>
      <c r="AB95" s="89" t="s">
        <v>132</v>
      </c>
    </row>
    <row r="96" spans="1:251" x14ac:dyDescent="0.2">
      <c r="C96">
        <v>2</v>
      </c>
      <c r="D96">
        <f t="shared" si="1"/>
        <v>12</v>
      </c>
      <c r="E96" s="110" t="str">
        <f t="shared" si="0"/>
        <v/>
      </c>
      <c r="F96" t="s">
        <v>159</v>
      </c>
      <c r="G96" t="str">
        <f>IF(AND(COUNTBLANK($F$93:F96)=1,COUNTBLANK(F97)=0),F97,IF(COUNTBLANK($F$93:F96)=0,F96,""))</f>
        <v/>
      </c>
      <c r="I96" s="89" t="s">
        <v>106</v>
      </c>
      <c r="N96" s="89" t="s">
        <v>106</v>
      </c>
      <c r="Q96" s="89"/>
      <c r="R96" s="89" t="s">
        <v>106</v>
      </c>
      <c r="AB96" s="89" t="s">
        <v>106</v>
      </c>
    </row>
    <row r="97" spans="3:28" x14ac:dyDescent="0.2">
      <c r="C97">
        <v>2</v>
      </c>
      <c r="D97">
        <f t="shared" si="1"/>
        <v>15</v>
      </c>
      <c r="E97" s="110" t="str">
        <f t="shared" si="0"/>
        <v/>
      </c>
      <c r="G97" t="str">
        <f>IF(AND(COUNTBLANK($F$93:F97)=1,COUNTBLANK(F98)=0),F98,IF(COUNTBLANK($F$93:F97)=0,F97,""))</f>
        <v/>
      </c>
      <c r="I97" s="89" t="s">
        <v>133</v>
      </c>
      <c r="N97" s="89" t="s">
        <v>133</v>
      </c>
      <c r="Q97" s="89"/>
      <c r="R97" s="89" t="s">
        <v>133</v>
      </c>
      <c r="AB97" s="89" t="s">
        <v>133</v>
      </c>
    </row>
    <row r="98" spans="3:28" x14ac:dyDescent="0.2">
      <c r="C98">
        <v>2</v>
      </c>
      <c r="D98">
        <f t="shared" si="1"/>
        <v>18</v>
      </c>
      <c r="E98" s="110" t="str">
        <f t="shared" si="0"/>
        <v/>
      </c>
      <c r="G98" t="str">
        <f>IF(AND(COUNTBLANK($F$93:F98)=1,COUNTBLANK(F99)=0),F99,IF(COUNTBLANK($F$93:F98)=0,F98,""))</f>
        <v/>
      </c>
      <c r="I98" s="89" t="s">
        <v>118</v>
      </c>
      <c r="N98" s="89" t="s">
        <v>118</v>
      </c>
      <c r="Q98" s="89"/>
      <c r="R98" s="89" t="s">
        <v>136</v>
      </c>
      <c r="AB98" s="89" t="s">
        <v>134</v>
      </c>
    </row>
    <row r="99" spans="3:28" x14ac:dyDescent="0.2">
      <c r="C99">
        <v>2</v>
      </c>
      <c r="D99">
        <f t="shared" si="1"/>
        <v>21</v>
      </c>
      <c r="E99" s="110" t="str">
        <f t="shared" si="0"/>
        <v/>
      </c>
      <c r="G99" t="str">
        <f>IF(AND(COUNTBLANK($F$93:F99)=1,COUNTBLANK(F100)=0),F100,IF(COUNTBLANK($F$93:F99)=0,F99,""))</f>
        <v/>
      </c>
      <c r="I99" s="89" t="s">
        <v>134</v>
      </c>
      <c r="N99" s="89" t="s">
        <v>134</v>
      </c>
      <c r="R99" s="89" t="s">
        <v>134</v>
      </c>
      <c r="AB99" s="89"/>
    </row>
    <row r="100" spans="3:28" x14ac:dyDescent="0.2">
      <c r="C100">
        <v>2</v>
      </c>
      <c r="D100">
        <f t="shared" si="1"/>
        <v>24</v>
      </c>
      <c r="E100" s="110" t="str">
        <f t="shared" si="0"/>
        <v/>
      </c>
      <c r="G100" t="str">
        <f>IF(AND(COUNTBLANK($F$93:F100)=1,COUNTBLANK(F101)=0),F101,IF(COUNTBLANK($F$93:F100)=0,F100,""))</f>
        <v/>
      </c>
      <c r="I100" s="89" t="s">
        <v>135</v>
      </c>
      <c r="N100" s="89" t="s">
        <v>135</v>
      </c>
      <c r="R100" s="89"/>
    </row>
    <row r="101" spans="3:28" x14ac:dyDescent="0.2">
      <c r="C101">
        <v>2</v>
      </c>
      <c r="D101">
        <f t="shared" si="1"/>
        <v>27</v>
      </c>
      <c r="E101" s="110" t="str">
        <f t="shared" si="0"/>
        <v/>
      </c>
      <c r="G101" t="str">
        <f>IF(AND(COUNTBLANK($F$93:F101)=1,COUNTBLANK(F102)=0),F102,IF(COUNTBLANK($F$93:F101)=0,F101,""))</f>
        <v/>
      </c>
      <c r="I101" s="89" t="s">
        <v>136</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Storage</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Purchase</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Storage</v>
      </c>
      <c r="G693" t="str">
        <f>IF(AND(COUNTBLANK($F$93:F693)=1,COUNTBLANK(F694)=0),F694,IF(COUNTBLANK($F$93:F693)=0,F693,""))</f>
        <v/>
      </c>
    </row>
    <row r="694" spans="1:7" x14ac:dyDescent="0.2">
      <c r="A694" s="103" t="s">
        <v>100</v>
      </c>
      <c r="C694">
        <v>2</v>
      </c>
      <c r="D694">
        <f>3+D693</f>
        <v>6</v>
      </c>
      <c r="E694" s="110" t="str">
        <f t="shared" ref="E694:E757" si="29">INDEX($B$35:$EU$50,C694,D694)</f>
        <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Purchase</v>
      </c>
      <c r="G743" t="str">
        <f>IF(AND(COUNTBLANK($F$93:F743)=1,COUNTBLANK(F744)=0),F744,IF(COUNTBLANK($F$93:F743)=0,F743,""))</f>
        <v/>
      </c>
    </row>
    <row r="744" spans="1:7" x14ac:dyDescent="0.2">
      <c r="A744" s="103" t="s">
        <v>101</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101</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
      </c>
      <c r="G1793" t="str">
        <f>IF(AND(COUNTBLANK($F$93:F1793)=1,COUNTBLANK(F1794)=0),F1794,IF(COUNTBLANK($F$93:F1793)=0,F1793,""))</f>
        <v/>
      </c>
    </row>
    <row r="1794" spans="1:7" x14ac:dyDescent="0.2">
      <c r="A1794" s="103" t="s">
        <v>100</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72" t="s">
        <v>155</v>
      </c>
      <c r="D20" s="121" t="s">
        <v>124</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H23"/>
  <sheetViews>
    <sheetView tabSelected="1" workbookViewId="0">
      <selection activeCell="C2" sqref="C2"/>
    </sheetView>
  </sheetViews>
  <sheetFormatPr defaultRowHeight="12.75" x14ac:dyDescent="0.2"/>
  <cols>
    <col min="1" max="1" width="10.5703125" customWidth="1"/>
    <col min="2" max="2" width="10.140625" customWidth="1"/>
    <col min="3" max="3" width="22.7109375" customWidth="1"/>
    <col min="4" max="4" width="8.85546875" customWidth="1"/>
    <col min="5" max="34" width="5.5703125" customWidth="1"/>
    <col min="35" max="36" width="11.28515625" customWidth="1"/>
    <col min="37" max="39" width="7.85546875" customWidth="1"/>
    <col min="40" max="42" width="11.28515625" customWidth="1"/>
    <col min="43" max="44" width="7.85546875" customWidth="1"/>
    <col min="45" max="46" width="11.28515625" customWidth="1"/>
    <col min="47" max="47" width="7.85546875" customWidth="1"/>
    <col min="48" max="49" width="11.28515625" customWidth="1"/>
    <col min="50" max="50" width="7.85546875" customWidth="1"/>
    <col min="51" max="54" width="11.28515625" customWidth="1"/>
    <col min="55" max="55" width="7.85546875" customWidth="1"/>
    <col min="56" max="59" width="11.28515625" customWidth="1"/>
    <col min="60" max="60" width="7.85546875" customWidth="1"/>
    <col min="61" max="62" width="11.28515625" customWidth="1"/>
    <col min="63" max="63" width="7.85546875" customWidth="1"/>
    <col min="64" max="65" width="11.28515625" customWidth="1"/>
    <col min="66" max="67" width="7.85546875" customWidth="1"/>
    <col min="68" max="68" width="11.28515625" customWidth="1"/>
    <col min="69" max="69" width="7.85546875" customWidth="1"/>
    <col min="70" max="72" width="11.28515625" customWidth="1"/>
    <col min="73" max="74" width="7.85546875" customWidth="1"/>
    <col min="75" max="75" width="11.28515625" customWidth="1"/>
    <col min="76" max="76" width="7.85546875" customWidth="1"/>
    <col min="77" max="77" width="11.28515625" customWidth="1"/>
    <col min="78" max="78" width="7.85546875" customWidth="1"/>
    <col min="79" max="84" width="11.28515625" customWidth="1"/>
    <col min="85" max="87" width="7.85546875" customWidth="1"/>
    <col min="88" max="88" width="11.28515625" customWidth="1"/>
    <col min="89" max="91" width="7.85546875" customWidth="1"/>
    <col min="92" max="92" width="11.28515625" customWidth="1"/>
    <col min="93" max="93" width="7.85546875" customWidth="1"/>
    <col min="94" max="96" width="11.28515625" customWidth="1"/>
    <col min="97" max="99" width="7.85546875" customWidth="1"/>
    <col min="100" max="100" width="11.28515625" customWidth="1"/>
    <col min="101" max="103" width="7.85546875" customWidth="1"/>
    <col min="104" max="104" width="11.28515625" customWidth="1"/>
    <col min="105" max="204" width="11.28515625" bestFit="1" customWidth="1"/>
  </cols>
  <sheetData>
    <row r="1" spans="1:34" ht="18" x14ac:dyDescent="0.25">
      <c r="A1" s="1" t="s">
        <v>62</v>
      </c>
    </row>
    <row r="3" spans="1:34" ht="15.75" x14ac:dyDescent="0.25">
      <c r="A3" s="66" t="s">
        <v>63</v>
      </c>
      <c r="B3" s="80" t="s">
        <v>63</v>
      </c>
      <c r="C3" s="67" t="s">
        <v>64</v>
      </c>
      <c r="D3" s="130" t="s">
        <v>164</v>
      </c>
      <c r="E3" s="176" t="s">
        <v>163</v>
      </c>
    </row>
    <row r="4" spans="1:34" ht="16.5" thickBot="1" x14ac:dyDescent="0.3">
      <c r="A4" s="84" t="s">
        <v>65</v>
      </c>
      <c r="B4" s="85" t="s">
        <v>66</v>
      </c>
      <c r="C4" s="86"/>
      <c r="D4" s="84" t="s">
        <v>165</v>
      </c>
      <c r="E4" s="176">
        <v>1</v>
      </c>
      <c r="F4" s="130">
        <v>2</v>
      </c>
      <c r="G4" s="130">
        <v>3</v>
      </c>
      <c r="H4" s="130">
        <v>4</v>
      </c>
      <c r="I4" s="130">
        <v>5</v>
      </c>
      <c r="J4" s="130">
        <v>6</v>
      </c>
      <c r="K4" s="130">
        <v>7</v>
      </c>
      <c r="L4" s="130">
        <v>8</v>
      </c>
      <c r="M4" s="130">
        <v>9</v>
      </c>
      <c r="N4" s="130">
        <v>10</v>
      </c>
      <c r="O4" s="130">
        <v>11</v>
      </c>
      <c r="P4" s="130">
        <v>12</v>
      </c>
      <c r="Q4" s="130">
        <v>13</v>
      </c>
      <c r="R4" s="130">
        <v>14</v>
      </c>
      <c r="S4" s="130">
        <v>15</v>
      </c>
      <c r="T4" s="130">
        <v>16</v>
      </c>
      <c r="U4" s="130">
        <v>17</v>
      </c>
      <c r="V4" s="130">
        <v>18</v>
      </c>
      <c r="W4" s="130">
        <v>19</v>
      </c>
      <c r="X4" s="130">
        <v>20</v>
      </c>
      <c r="Y4" s="130">
        <v>21</v>
      </c>
      <c r="Z4" s="130">
        <v>22</v>
      </c>
      <c r="AA4" s="130">
        <v>23</v>
      </c>
      <c r="AB4" s="130">
        <v>24</v>
      </c>
      <c r="AC4" s="130">
        <v>25</v>
      </c>
      <c r="AD4" s="130">
        <v>26</v>
      </c>
      <c r="AE4" s="130">
        <v>27</v>
      </c>
      <c r="AF4" s="130">
        <v>28</v>
      </c>
      <c r="AG4" s="130">
        <v>29</v>
      </c>
      <c r="AH4" s="130">
        <v>30</v>
      </c>
    </row>
    <row r="5" spans="1:34" x14ac:dyDescent="0.2">
      <c r="E5" s="179"/>
      <c r="F5" s="180"/>
      <c r="G5" s="180"/>
      <c r="H5" s="180"/>
      <c r="I5" s="180"/>
      <c r="J5" s="180"/>
      <c r="K5" s="180"/>
      <c r="L5" s="180"/>
      <c r="M5" s="180"/>
      <c r="N5" s="180"/>
      <c r="O5" s="180"/>
      <c r="P5" s="180"/>
      <c r="Q5" s="180"/>
      <c r="R5" s="180"/>
      <c r="S5" s="180"/>
      <c r="T5" s="180"/>
      <c r="U5" s="180"/>
      <c r="V5" s="180"/>
      <c r="W5" s="180"/>
      <c r="X5" s="180"/>
      <c r="Y5" s="180"/>
      <c r="Z5" s="180"/>
      <c r="AA5" s="180"/>
      <c r="AB5" s="180"/>
      <c r="AC5" s="180"/>
      <c r="AD5" s="180"/>
      <c r="AE5" s="180"/>
      <c r="AF5" s="180"/>
      <c r="AG5" s="180"/>
      <c r="AH5" s="180"/>
    </row>
    <row r="6" spans="1:34" x14ac:dyDescent="0.2">
      <c r="A6" t="s">
        <v>166</v>
      </c>
      <c r="B6" t="s">
        <v>159</v>
      </c>
      <c r="C6" t="s">
        <v>167</v>
      </c>
      <c r="D6" s="175">
        <v>1050</v>
      </c>
      <c r="E6" s="177">
        <v>1050</v>
      </c>
      <c r="F6">
        <v>1050</v>
      </c>
      <c r="G6">
        <v>1050</v>
      </c>
      <c r="H6">
        <v>1050</v>
      </c>
      <c r="I6">
        <v>1050</v>
      </c>
      <c r="J6">
        <v>1050</v>
      </c>
      <c r="K6">
        <v>1050</v>
      </c>
      <c r="L6">
        <v>1050</v>
      </c>
      <c r="M6">
        <v>1050</v>
      </c>
      <c r="N6">
        <v>1050</v>
      </c>
      <c r="O6">
        <v>1050</v>
      </c>
      <c r="P6">
        <v>1050</v>
      </c>
      <c r="Q6">
        <v>1050</v>
      </c>
      <c r="R6">
        <v>1050</v>
      </c>
      <c r="S6">
        <v>1050</v>
      </c>
      <c r="T6">
        <v>1050</v>
      </c>
      <c r="U6">
        <v>1050</v>
      </c>
      <c r="V6">
        <v>1050</v>
      </c>
      <c r="W6">
        <v>1050</v>
      </c>
      <c r="X6">
        <v>1050</v>
      </c>
      <c r="Y6">
        <v>1050</v>
      </c>
      <c r="Z6">
        <v>1050</v>
      </c>
      <c r="AA6">
        <v>1050</v>
      </c>
      <c r="AB6">
        <v>1050</v>
      </c>
      <c r="AC6">
        <v>1050</v>
      </c>
      <c r="AD6">
        <v>1050</v>
      </c>
      <c r="AE6">
        <v>1050</v>
      </c>
      <c r="AF6">
        <v>1050</v>
      </c>
      <c r="AG6">
        <v>1050</v>
      </c>
      <c r="AH6">
        <v>1050</v>
      </c>
    </row>
    <row r="7" spans="1:34" x14ac:dyDescent="0.2">
      <c r="C7" t="s">
        <v>168</v>
      </c>
      <c r="D7" s="175">
        <v>1950</v>
      </c>
      <c r="E7" s="177">
        <v>1950</v>
      </c>
      <c r="F7">
        <v>1950</v>
      </c>
      <c r="G7">
        <v>1950</v>
      </c>
      <c r="H7">
        <v>1950</v>
      </c>
      <c r="I7">
        <v>1950</v>
      </c>
      <c r="J7">
        <v>1950</v>
      </c>
      <c r="K7">
        <v>1950</v>
      </c>
      <c r="L7">
        <v>1950</v>
      </c>
      <c r="M7">
        <v>1950</v>
      </c>
      <c r="N7">
        <v>1950</v>
      </c>
      <c r="O7">
        <v>1950</v>
      </c>
      <c r="P7">
        <v>1950</v>
      </c>
      <c r="Q7">
        <v>1950</v>
      </c>
      <c r="R7">
        <v>1950</v>
      </c>
      <c r="S7">
        <v>1950</v>
      </c>
      <c r="T7">
        <v>1950</v>
      </c>
      <c r="U7">
        <v>1950</v>
      </c>
      <c r="V7">
        <v>1950</v>
      </c>
      <c r="W7">
        <v>1950</v>
      </c>
      <c r="X7">
        <v>1950</v>
      </c>
      <c r="Y7">
        <v>1950</v>
      </c>
      <c r="Z7">
        <v>1950</v>
      </c>
      <c r="AA7">
        <v>1950</v>
      </c>
      <c r="AB7">
        <v>1950</v>
      </c>
      <c r="AC7">
        <v>1950</v>
      </c>
      <c r="AD7">
        <v>1950</v>
      </c>
      <c r="AE7">
        <v>1950</v>
      </c>
      <c r="AF7">
        <v>1950</v>
      </c>
      <c r="AG7">
        <v>1950</v>
      </c>
      <c r="AH7">
        <v>1950</v>
      </c>
    </row>
    <row r="8" spans="1:34" x14ac:dyDescent="0.2">
      <c r="C8" t="s">
        <v>169</v>
      </c>
      <c r="D8" s="175">
        <v>0.34999999999999981</v>
      </c>
      <c r="E8" s="178">
        <v>0.35</v>
      </c>
      <c r="F8" s="175">
        <v>0.35</v>
      </c>
      <c r="G8" s="175">
        <v>0.35</v>
      </c>
      <c r="H8" s="175">
        <v>0.35</v>
      </c>
      <c r="I8" s="175">
        <v>0.35</v>
      </c>
      <c r="J8" s="175">
        <v>0.35</v>
      </c>
      <c r="K8" s="175">
        <v>0.35</v>
      </c>
      <c r="L8" s="175">
        <v>0.35</v>
      </c>
      <c r="M8" s="175">
        <v>0.35</v>
      </c>
      <c r="N8" s="175">
        <v>0.35</v>
      </c>
      <c r="O8" s="175">
        <v>0.35</v>
      </c>
      <c r="P8" s="175">
        <v>0.35</v>
      </c>
      <c r="Q8" s="175">
        <v>0.35</v>
      </c>
      <c r="R8" s="175">
        <v>0.35</v>
      </c>
      <c r="S8" s="175">
        <v>0.35</v>
      </c>
      <c r="T8" s="175">
        <v>0.35</v>
      </c>
      <c r="U8" s="175">
        <v>0.35</v>
      </c>
      <c r="V8" s="175">
        <v>0.35</v>
      </c>
      <c r="W8" s="175">
        <v>0.35</v>
      </c>
      <c r="X8" s="175">
        <v>0.35</v>
      </c>
      <c r="Y8" s="175">
        <v>0.35</v>
      </c>
      <c r="Z8" s="175">
        <v>0.35</v>
      </c>
      <c r="AA8" s="175">
        <v>0.35</v>
      </c>
      <c r="AB8" s="175">
        <v>0.35</v>
      </c>
      <c r="AC8" s="175">
        <v>0.35</v>
      </c>
      <c r="AD8" s="175">
        <v>0.35</v>
      </c>
      <c r="AE8" s="175">
        <v>0.35</v>
      </c>
      <c r="AF8" s="175">
        <v>0.35</v>
      </c>
      <c r="AG8" s="175">
        <v>0.35</v>
      </c>
      <c r="AH8" s="175">
        <v>0.35</v>
      </c>
    </row>
    <row r="9" spans="1:34" x14ac:dyDescent="0.2">
      <c r="E9" s="177"/>
    </row>
    <row r="10" spans="1:34" x14ac:dyDescent="0.2">
      <c r="A10" t="s">
        <v>170</v>
      </c>
      <c r="B10" t="s">
        <v>160</v>
      </c>
      <c r="C10" t="s">
        <v>171</v>
      </c>
      <c r="D10" s="175">
        <v>1050</v>
      </c>
      <c r="E10" s="177">
        <v>1050</v>
      </c>
      <c r="F10">
        <v>1050</v>
      </c>
      <c r="G10">
        <v>1050</v>
      </c>
      <c r="H10">
        <v>1050</v>
      </c>
      <c r="I10">
        <v>1050</v>
      </c>
      <c r="J10">
        <v>1050</v>
      </c>
      <c r="K10">
        <v>1050</v>
      </c>
      <c r="L10">
        <v>1050</v>
      </c>
      <c r="M10">
        <v>1050</v>
      </c>
      <c r="N10">
        <v>1050</v>
      </c>
      <c r="O10">
        <v>1050</v>
      </c>
      <c r="P10">
        <v>1050</v>
      </c>
      <c r="Q10">
        <v>1050</v>
      </c>
      <c r="R10">
        <v>1050</v>
      </c>
      <c r="S10">
        <v>1050</v>
      </c>
      <c r="T10">
        <v>1050</v>
      </c>
      <c r="U10">
        <v>1050</v>
      </c>
      <c r="V10">
        <v>1050</v>
      </c>
      <c r="W10">
        <v>1050</v>
      </c>
      <c r="X10">
        <v>1050</v>
      </c>
      <c r="Y10">
        <v>1050</v>
      </c>
      <c r="Z10">
        <v>1050</v>
      </c>
      <c r="AA10">
        <v>1050</v>
      </c>
      <c r="AB10">
        <v>1050</v>
      </c>
      <c r="AC10">
        <v>1050</v>
      </c>
      <c r="AD10">
        <v>1050</v>
      </c>
      <c r="AE10">
        <v>1050</v>
      </c>
      <c r="AF10">
        <v>1050</v>
      </c>
      <c r="AG10">
        <v>1050</v>
      </c>
      <c r="AH10">
        <v>1050</v>
      </c>
    </row>
    <row r="11" spans="1:34" x14ac:dyDescent="0.2">
      <c r="C11" t="s">
        <v>172</v>
      </c>
      <c r="D11" s="175">
        <v>0</v>
      </c>
      <c r="E11" s="177">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2">
      <c r="C12" t="s">
        <v>173</v>
      </c>
      <c r="D12" s="175">
        <v>0</v>
      </c>
      <c r="E12" s="177">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row>
    <row r="13" spans="1:34" x14ac:dyDescent="0.2">
      <c r="C13" t="s">
        <v>174</v>
      </c>
      <c r="D13" s="175">
        <v>70</v>
      </c>
      <c r="E13" s="177">
        <v>70</v>
      </c>
      <c r="F13">
        <v>70</v>
      </c>
      <c r="G13">
        <v>70</v>
      </c>
      <c r="H13">
        <v>70</v>
      </c>
      <c r="I13">
        <v>70</v>
      </c>
      <c r="J13">
        <v>70</v>
      </c>
      <c r="K13">
        <v>70</v>
      </c>
      <c r="L13">
        <v>70</v>
      </c>
      <c r="M13">
        <v>70</v>
      </c>
      <c r="N13">
        <v>70</v>
      </c>
      <c r="O13">
        <v>70</v>
      </c>
      <c r="P13">
        <v>70</v>
      </c>
      <c r="Q13">
        <v>70</v>
      </c>
      <c r="R13">
        <v>70</v>
      </c>
      <c r="S13">
        <v>70</v>
      </c>
      <c r="T13">
        <v>70</v>
      </c>
      <c r="U13">
        <v>70</v>
      </c>
      <c r="V13">
        <v>70</v>
      </c>
      <c r="W13">
        <v>70</v>
      </c>
      <c r="X13">
        <v>70</v>
      </c>
      <c r="Y13">
        <v>70</v>
      </c>
      <c r="Z13">
        <v>70</v>
      </c>
      <c r="AA13">
        <v>70</v>
      </c>
      <c r="AB13">
        <v>70</v>
      </c>
      <c r="AC13">
        <v>70</v>
      </c>
      <c r="AD13">
        <v>70</v>
      </c>
      <c r="AE13">
        <v>70</v>
      </c>
      <c r="AF13">
        <v>70</v>
      </c>
      <c r="AG13">
        <v>70</v>
      </c>
      <c r="AH13">
        <v>70</v>
      </c>
    </row>
    <row r="14" spans="1:34" x14ac:dyDescent="0.2">
      <c r="C14" t="s">
        <v>175</v>
      </c>
      <c r="D14" s="175">
        <v>25.752150754223234</v>
      </c>
      <c r="E14" s="178">
        <v>25.437612602188835</v>
      </c>
      <c r="F14" s="175">
        <v>25.919657512109122</v>
      </c>
      <c r="G14" s="175">
        <v>25.782218478964641</v>
      </c>
      <c r="H14" s="175">
        <v>28.052814620182556</v>
      </c>
      <c r="I14" s="175">
        <v>25.759659528805493</v>
      </c>
      <c r="J14" s="175">
        <v>24.66900758500844</v>
      </c>
      <c r="K14" s="175">
        <v>26.349574666129204</v>
      </c>
      <c r="L14" s="175">
        <v>24.223924449652692</v>
      </c>
      <c r="M14" s="175">
        <v>25.004136461081988</v>
      </c>
      <c r="N14" s="175">
        <v>26.692659574772929</v>
      </c>
      <c r="O14" s="175">
        <v>24.804047427444786</v>
      </c>
      <c r="P14" s="175">
        <v>25.997634451655358</v>
      </c>
      <c r="Q14" s="175">
        <v>25.762439910845039</v>
      </c>
      <c r="R14" s="175">
        <v>26.818474599871049</v>
      </c>
      <c r="S14" s="175">
        <v>26.189350486033835</v>
      </c>
      <c r="T14" s="175">
        <v>25.422605684819548</v>
      </c>
      <c r="U14" s="175">
        <v>24.918586237501408</v>
      </c>
      <c r="V14" s="175">
        <v>26.10835688763127</v>
      </c>
      <c r="W14" s="175">
        <v>24.940675919554021</v>
      </c>
      <c r="X14" s="175">
        <v>25.199414549595193</v>
      </c>
      <c r="Y14" s="175">
        <v>27.147571256019571</v>
      </c>
      <c r="Z14" s="175">
        <v>26.277213330449342</v>
      </c>
      <c r="AA14" s="175">
        <v>26.576037434051251</v>
      </c>
      <c r="AB14" s="175">
        <v>25.463653361776061</v>
      </c>
      <c r="AC14" s="175">
        <v>26.17182763357658</v>
      </c>
      <c r="AD14" s="175">
        <v>26.472532550697867</v>
      </c>
      <c r="AE14" s="175">
        <v>24.688089378369881</v>
      </c>
      <c r="AF14" s="175">
        <v>25.436705689563354</v>
      </c>
      <c r="AG14" s="175">
        <v>25.390385685180888</v>
      </c>
      <c r="AH14" s="175">
        <v>24.887654673164743</v>
      </c>
    </row>
    <row r="15" spans="1:34" x14ac:dyDescent="0.2">
      <c r="C15" t="s">
        <v>176</v>
      </c>
      <c r="D15" s="175">
        <v>8.8293088300193947</v>
      </c>
      <c r="E15" s="178">
        <v>8.7214671778933148</v>
      </c>
      <c r="F15" s="175">
        <v>8.8867397184374131</v>
      </c>
      <c r="G15" s="175">
        <v>8.8396177642164471</v>
      </c>
      <c r="H15" s="175">
        <v>9.6181078697768765</v>
      </c>
      <c r="I15" s="175">
        <v>8.8318832670190268</v>
      </c>
      <c r="J15" s="175">
        <v>8.4579454577171802</v>
      </c>
      <c r="K15" s="175">
        <v>9.0341398855300135</v>
      </c>
      <c r="L15" s="175">
        <v>8.3053455255952091</v>
      </c>
      <c r="M15" s="175">
        <v>8.5728467866566813</v>
      </c>
      <c r="N15" s="175">
        <v>9.1517689970650054</v>
      </c>
      <c r="O15" s="175">
        <v>8.5042448322667834</v>
      </c>
      <c r="P15" s="175">
        <v>8.9134746691389797</v>
      </c>
      <c r="Q15" s="175">
        <v>8.8328365408611553</v>
      </c>
      <c r="R15" s="175">
        <v>9.1949055770986448</v>
      </c>
      <c r="S15" s="175">
        <v>8.9792058809258872</v>
      </c>
      <c r="T15" s="175">
        <v>8.7163219490809887</v>
      </c>
      <c r="U15" s="175">
        <v>8.5435152814290554</v>
      </c>
      <c r="V15" s="175">
        <v>8.9514366471878652</v>
      </c>
      <c r="W15" s="175">
        <v>8.5510888867042354</v>
      </c>
      <c r="X15" s="175">
        <v>8.6397992741469238</v>
      </c>
      <c r="Y15" s="175">
        <v>9.3077387163495668</v>
      </c>
      <c r="Z15" s="175">
        <v>9.0093302847254879</v>
      </c>
      <c r="AA15" s="175">
        <v>9.111784263103285</v>
      </c>
      <c r="AB15" s="175">
        <v>8.730395438323221</v>
      </c>
      <c r="AC15" s="175">
        <v>8.9731980457976839</v>
      </c>
      <c r="AD15" s="175">
        <v>9.0762968745249832</v>
      </c>
      <c r="AE15" s="175">
        <v>8.4644877868696735</v>
      </c>
      <c r="AF15" s="175">
        <v>8.7211562364217219</v>
      </c>
      <c r="AG15" s="175">
        <v>8.7052750920620188</v>
      </c>
      <c r="AH15" s="175">
        <v>8.5329101736564823</v>
      </c>
    </row>
    <row r="16" spans="1:34" x14ac:dyDescent="0.2">
      <c r="E16" s="177"/>
    </row>
    <row r="17" spans="1:34" x14ac:dyDescent="0.2">
      <c r="A17" t="s">
        <v>177</v>
      </c>
      <c r="B17" t="s">
        <v>161</v>
      </c>
      <c r="C17" t="s">
        <v>178</v>
      </c>
      <c r="D17" s="175">
        <v>1050</v>
      </c>
      <c r="E17" s="177">
        <v>1050</v>
      </c>
      <c r="F17">
        <v>1050</v>
      </c>
      <c r="G17">
        <v>1050</v>
      </c>
      <c r="H17">
        <v>1050</v>
      </c>
      <c r="I17">
        <v>1050</v>
      </c>
      <c r="J17">
        <v>1050</v>
      </c>
      <c r="K17">
        <v>1050</v>
      </c>
      <c r="L17">
        <v>1050</v>
      </c>
      <c r="M17">
        <v>1050</v>
      </c>
      <c r="N17">
        <v>1050</v>
      </c>
      <c r="O17">
        <v>1050</v>
      </c>
      <c r="P17">
        <v>1050</v>
      </c>
      <c r="Q17">
        <v>1050</v>
      </c>
      <c r="R17">
        <v>1050</v>
      </c>
      <c r="S17">
        <v>1050</v>
      </c>
      <c r="T17">
        <v>1050</v>
      </c>
      <c r="U17">
        <v>1050</v>
      </c>
      <c r="V17">
        <v>1050</v>
      </c>
      <c r="W17">
        <v>1050</v>
      </c>
      <c r="X17">
        <v>1050</v>
      </c>
      <c r="Y17">
        <v>1050</v>
      </c>
      <c r="Z17">
        <v>1050</v>
      </c>
      <c r="AA17">
        <v>1050</v>
      </c>
      <c r="AB17">
        <v>1050</v>
      </c>
      <c r="AC17">
        <v>1050</v>
      </c>
      <c r="AD17">
        <v>1050</v>
      </c>
      <c r="AE17">
        <v>1050</v>
      </c>
      <c r="AF17">
        <v>1050</v>
      </c>
      <c r="AG17">
        <v>1050</v>
      </c>
      <c r="AH17">
        <v>1050</v>
      </c>
    </row>
    <row r="18" spans="1:34" x14ac:dyDescent="0.2">
      <c r="C18" t="s">
        <v>179</v>
      </c>
      <c r="D18" s="175">
        <v>398.16666666666669</v>
      </c>
      <c r="E18" s="177">
        <v>379</v>
      </c>
      <c r="F18">
        <v>424</v>
      </c>
      <c r="G18">
        <v>413</v>
      </c>
      <c r="H18">
        <v>352</v>
      </c>
      <c r="I18">
        <v>407</v>
      </c>
      <c r="J18">
        <v>420</v>
      </c>
      <c r="K18">
        <v>373</v>
      </c>
      <c r="L18">
        <v>437</v>
      </c>
      <c r="M18">
        <v>419</v>
      </c>
      <c r="N18">
        <v>338</v>
      </c>
      <c r="O18">
        <v>430</v>
      </c>
      <c r="P18">
        <v>411</v>
      </c>
      <c r="Q18">
        <v>405</v>
      </c>
      <c r="R18">
        <v>402</v>
      </c>
      <c r="S18">
        <v>373</v>
      </c>
      <c r="T18">
        <v>389</v>
      </c>
      <c r="U18">
        <v>410</v>
      </c>
      <c r="V18">
        <v>407</v>
      </c>
      <c r="W18">
        <v>383</v>
      </c>
      <c r="X18">
        <v>445</v>
      </c>
      <c r="Y18">
        <v>349</v>
      </c>
      <c r="Z18">
        <v>386</v>
      </c>
      <c r="AA18">
        <v>413</v>
      </c>
      <c r="AB18">
        <v>366</v>
      </c>
      <c r="AC18">
        <v>434</v>
      </c>
      <c r="AD18">
        <v>310</v>
      </c>
      <c r="AE18">
        <v>464</v>
      </c>
      <c r="AF18">
        <v>419</v>
      </c>
      <c r="AG18">
        <v>415</v>
      </c>
      <c r="AH18">
        <v>372</v>
      </c>
    </row>
    <row r="19" spans="1:34" x14ac:dyDescent="0.2">
      <c r="C19" t="s">
        <v>169</v>
      </c>
      <c r="D19" s="175">
        <v>0.72544464579585555</v>
      </c>
      <c r="E19" s="178">
        <v>0.73477956613016093</v>
      </c>
      <c r="F19" s="175">
        <v>0.71234735413839889</v>
      </c>
      <c r="G19" s="175">
        <v>0.71770334928229662</v>
      </c>
      <c r="H19" s="175">
        <v>0.7489300998573466</v>
      </c>
      <c r="I19" s="175">
        <v>0.72065888812628687</v>
      </c>
      <c r="J19" s="175">
        <v>0.7142857142857143</v>
      </c>
      <c r="K19" s="175">
        <v>0.73787772312016864</v>
      </c>
      <c r="L19" s="175">
        <v>0.70611970410221925</v>
      </c>
      <c r="M19" s="175">
        <v>0.71477195371000679</v>
      </c>
      <c r="N19" s="175">
        <v>0.75648414985590773</v>
      </c>
      <c r="O19" s="175">
        <v>0.70945945945945943</v>
      </c>
      <c r="P19" s="175">
        <v>0.71868583162217659</v>
      </c>
      <c r="Q19" s="175">
        <v>0.72164948453608246</v>
      </c>
      <c r="R19" s="175">
        <v>0.72314049586776863</v>
      </c>
      <c r="S19" s="175">
        <v>0.73787772312016864</v>
      </c>
      <c r="T19" s="175">
        <v>0.72967338429464901</v>
      </c>
      <c r="U19" s="175">
        <v>0.71917808219178081</v>
      </c>
      <c r="V19" s="175">
        <v>0.72065888812628687</v>
      </c>
      <c r="W19" s="175">
        <v>0.73272854152128397</v>
      </c>
      <c r="X19" s="175">
        <v>0.7023411371237458</v>
      </c>
      <c r="Y19" s="175">
        <v>0.75053609721229453</v>
      </c>
      <c r="Z19" s="175">
        <v>0.73119777158774368</v>
      </c>
      <c r="AA19" s="175">
        <v>0.71770334928229662</v>
      </c>
      <c r="AB19" s="175">
        <v>0.74152542372881358</v>
      </c>
      <c r="AC19" s="175">
        <v>0.70754716981132071</v>
      </c>
      <c r="AD19" s="175">
        <v>0.7720588235294118</v>
      </c>
      <c r="AE19" s="175">
        <v>0.69352708058124179</v>
      </c>
      <c r="AF19" s="175">
        <v>0.71477195371000679</v>
      </c>
      <c r="AG19" s="175">
        <v>0.71672354948805461</v>
      </c>
      <c r="AH19" s="175">
        <v>0.73839662447257381</v>
      </c>
    </row>
    <row r="20" spans="1:34" x14ac:dyDescent="0.2">
      <c r="E20" s="177"/>
    </row>
    <row r="21" spans="1:34" x14ac:dyDescent="0.2">
      <c r="E21" s="177"/>
    </row>
    <row r="22" spans="1:34" x14ac:dyDescent="0.2">
      <c r="E22" s="177"/>
    </row>
    <row r="23" spans="1:34" x14ac:dyDescent="0.2">
      <c r="E23" s="177"/>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161</v>
      </c>
    </row>
    <row r="4" spans="2:2" x14ac:dyDescent="0.2">
      <c r="B4" t="s">
        <v>122</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159</v>
      </c>
      <c r="C7" t="s">
        <v>139</v>
      </c>
      <c r="D7">
        <v>3</v>
      </c>
      <c r="E7">
        <v>50</v>
      </c>
      <c r="F7">
        <v>1</v>
      </c>
    </row>
    <row r="8" spans="1:6" x14ac:dyDescent="0.2">
      <c r="A8">
        <v>2</v>
      </c>
      <c r="B8" t="s">
        <v>160</v>
      </c>
      <c r="C8" t="s">
        <v>96</v>
      </c>
      <c r="D8">
        <v>3</v>
      </c>
      <c r="E8">
        <v>50</v>
      </c>
      <c r="F8">
        <v>2</v>
      </c>
    </row>
    <row r="9" spans="1:6" x14ac:dyDescent="0.2">
      <c r="A9">
        <v>3</v>
      </c>
      <c r="B9" t="s">
        <v>161</v>
      </c>
      <c r="C9" t="s">
        <v>162</v>
      </c>
      <c r="D9">
        <v>3</v>
      </c>
      <c r="E9">
        <v>50</v>
      </c>
      <c r="F9">
        <v>3</v>
      </c>
    </row>
    <row r="10" spans="1:6" x14ac:dyDescent="0.2">
      <c r="A10">
        <v>4</v>
      </c>
      <c r="F10">
        <v>4</v>
      </c>
    </row>
    <row r="11" spans="1:6" x14ac:dyDescent="0.2">
      <c r="A11">
        <v>5</v>
      </c>
      <c r="F11">
        <v>5</v>
      </c>
    </row>
    <row r="12" spans="1:6" x14ac:dyDescent="0.2">
      <c r="A12">
        <v>6</v>
      </c>
      <c r="F12">
        <v>6</v>
      </c>
    </row>
    <row r="13" spans="1:6" x14ac:dyDescent="0.2">
      <c r="A13">
        <v>7</v>
      </c>
      <c r="F13">
        <v>7</v>
      </c>
    </row>
    <row r="14" spans="1:6" x14ac:dyDescent="0.2">
      <c r="A14">
        <v>8</v>
      </c>
      <c r="F14">
        <v>5</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9">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123</v>
      </c>
    </row>
    <row r="2" spans="1:220" x14ac:dyDescent="0.2">
      <c r="B2" s="89"/>
    </row>
    <row r="3" spans="1:220" ht="13.5" thickBot="1" x14ac:dyDescent="0.25">
      <c r="B3" s="89"/>
    </row>
    <row r="4" spans="1:220" ht="16.5" thickBot="1" x14ac:dyDescent="0.3">
      <c r="A4" s="130" t="s">
        <v>128</v>
      </c>
      <c r="D4" s="152"/>
    </row>
    <row r="6" spans="1:220" s="130" customFormat="1" ht="15.75" x14ac:dyDescent="0.25">
      <c r="A6" s="150"/>
      <c r="B6" s="130" t="s">
        <v>129</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Results</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Seth Berry</cp:lastModifiedBy>
  <cp:lastPrinted>2003-03-27T18:40:25Z</cp:lastPrinted>
  <dcterms:created xsi:type="dcterms:W3CDTF">2000-07-26T14:58:13Z</dcterms:created>
  <dcterms:modified xsi:type="dcterms:W3CDTF">2017-10-11T12:48:09Z</dcterms:modified>
</cp:coreProperties>
</file>