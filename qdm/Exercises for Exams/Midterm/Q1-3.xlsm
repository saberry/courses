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berry5\Documents\class\QDM Class\Exercises for Exams\Midterm\"/>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62913"/>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E94" i="37" s="1"/>
  <c r="D94" i="37"/>
  <c r="D95" i="37" s="1"/>
  <c r="H6" i="37"/>
  <c r="I6" i="37"/>
  <c r="J6" i="37"/>
  <c r="E95" i="37" s="1"/>
  <c r="K6" i="37"/>
  <c r="L6" i="37"/>
  <c r="M6" i="37"/>
  <c r="D96" i="37"/>
  <c r="D97" i="37" s="1"/>
  <c r="D98" i="37" s="1"/>
  <c r="D99" i="37" s="1"/>
  <c r="D100" i="37" s="1"/>
  <c r="D101" i="37" s="1"/>
  <c r="D102" i="37" s="1"/>
  <c r="D103" i="37" s="1"/>
  <c r="D104" i="37" s="1"/>
  <c r="D105" i="37" s="1"/>
  <c r="D106" i="37" s="1"/>
  <c r="D107" i="37" s="1"/>
  <c r="D108" i="37" s="1"/>
  <c r="D109" i="37" s="1"/>
  <c r="D110" i="37" s="1"/>
  <c r="D111" i="37" s="1"/>
  <c r="D112" i="37" s="1"/>
  <c r="D113" i="37" s="1"/>
  <c r="D114" i="37" s="1"/>
  <c r="D115" i="37" s="1"/>
  <c r="D116" i="37" s="1"/>
  <c r="D117" i="37" s="1"/>
  <c r="D118" i="37" s="1"/>
  <c r="D119" i="37" s="1"/>
  <c r="D120" i="37" s="1"/>
  <c r="D121" i="37" s="1"/>
  <c r="D122" i="37" s="1"/>
  <c r="D123" i="37" s="1"/>
  <c r="D124" i="37" s="1"/>
  <c r="D125" i="37" s="1"/>
  <c r="D126" i="37" s="1"/>
  <c r="D127" i="37" s="1"/>
  <c r="D128" i="37" s="1"/>
  <c r="D129" i="37" s="1"/>
  <c r="D130" i="37" s="1"/>
  <c r="D131" i="37" s="1"/>
  <c r="D132" i="37" s="1"/>
  <c r="D133" i="37" s="1"/>
  <c r="D134" i="37" s="1"/>
  <c r="D135" i="37" s="1"/>
  <c r="D136" i="37" s="1"/>
  <c r="D137" i="37" s="1"/>
  <c r="D138" i="37" s="1"/>
  <c r="D139" i="37" s="1"/>
  <c r="D140" i="37" s="1"/>
  <c r="D141" i="37" s="1"/>
  <c r="D142" i="37" s="1"/>
  <c r="N6" i="37"/>
  <c r="O6" i="37"/>
  <c r="P6" i="37"/>
  <c r="E97" i="37" s="1"/>
  <c r="Q6" i="37"/>
  <c r="R6" i="37"/>
  <c r="S6" i="37"/>
  <c r="T6" i="37"/>
  <c r="U6" i="37"/>
  <c r="V6" i="37"/>
  <c r="W6" i="37"/>
  <c r="X6" i="37"/>
  <c r="Y6" i="37"/>
  <c r="Z6" i="37"/>
  <c r="AA6" i="37"/>
  <c r="AB6" i="37"/>
  <c r="AC6" i="37"/>
  <c r="AD6" i="37"/>
  <c r="AE6" i="37"/>
  <c r="AF6" i="37"/>
  <c r="AG6" i="37"/>
  <c r="AH6" i="37"/>
  <c r="AI6" i="37"/>
  <c r="AJ6" i="37"/>
  <c r="AK6" i="37"/>
  <c r="E104" i="37" s="1"/>
  <c r="AL6" i="37"/>
  <c r="AM6" i="37"/>
  <c r="AN6" i="37"/>
  <c r="AO6" i="37"/>
  <c r="AP6" i="37"/>
  <c r="AQ6" i="37"/>
  <c r="AR6" i="37"/>
  <c r="AS6" i="37"/>
  <c r="AT6" i="37"/>
  <c r="AU6" i="37"/>
  <c r="AV6" i="37"/>
  <c r="AW6" i="37"/>
  <c r="AX6" i="37"/>
  <c r="AY6" i="37"/>
  <c r="AZ6" i="37"/>
  <c r="BA6" i="37"/>
  <c r="BB6" i="37"/>
  <c r="BC6" i="37"/>
  <c r="BD6" i="37"/>
  <c r="BE6" i="37"/>
  <c r="BF6" i="37"/>
  <c r="BG6" i="37"/>
  <c r="BH6" i="37"/>
  <c r="BI6" i="37"/>
  <c r="BJ6" i="37"/>
  <c r="BK6" i="37"/>
  <c r="BL6" i="37"/>
  <c r="BM6" i="37"/>
  <c r="BN6" i="37"/>
  <c r="BO6" i="37"/>
  <c r="BP6" i="37"/>
  <c r="BQ6" i="37"/>
  <c r="BR6" i="37"/>
  <c r="BS6" i="37"/>
  <c r="BT6" i="37"/>
  <c r="BU6" i="37"/>
  <c r="BV6" i="37"/>
  <c r="BW6" i="37"/>
  <c r="BX6" i="37"/>
  <c r="BY6" i="37"/>
  <c r="BZ6" i="37"/>
  <c r="CA6" i="37"/>
  <c r="CB6" i="37"/>
  <c r="CC6" i="37"/>
  <c r="CD6" i="37"/>
  <c r="CE6" i="37"/>
  <c r="CF6" i="37"/>
  <c r="CG6" i="37"/>
  <c r="CH6" i="37"/>
  <c r="CI6" i="37"/>
  <c r="CJ6" i="37"/>
  <c r="CK6" i="37"/>
  <c r="CL6" i="37"/>
  <c r="CM6" i="37"/>
  <c r="CN6" i="37"/>
  <c r="CO6" i="37"/>
  <c r="CP6" i="37"/>
  <c r="CQ6" i="37"/>
  <c r="CR6" i="37"/>
  <c r="CS6" i="37"/>
  <c r="CT6" i="37"/>
  <c r="CU6" i="37"/>
  <c r="CV6" i="37"/>
  <c r="CW6" i="37"/>
  <c r="CX6" i="37"/>
  <c r="CY6" i="37"/>
  <c r="CZ6" i="37"/>
  <c r="DA6" i="37"/>
  <c r="DB6" i="37"/>
  <c r="DC6" i="37"/>
  <c r="DD6" i="37"/>
  <c r="DE6" i="37"/>
  <c r="DF6" i="37"/>
  <c r="DG6" i="37"/>
  <c r="DH6" i="37"/>
  <c r="DI6" i="37"/>
  <c r="DJ6" i="37"/>
  <c r="DK6" i="37"/>
  <c r="DL6" i="37"/>
  <c r="DM6" i="37"/>
  <c r="DN6" i="37"/>
  <c r="DO6" i="37"/>
  <c r="DP6" i="37"/>
  <c r="DQ6" i="37"/>
  <c r="DR6" i="37"/>
  <c r="DS6" i="37"/>
  <c r="DT6" i="37"/>
  <c r="DU6" i="37"/>
  <c r="DV6" i="37"/>
  <c r="DW6" i="37"/>
  <c r="DX6" i="37"/>
  <c r="DY6" i="37"/>
  <c r="DZ6" i="37"/>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C153" i="37"/>
  <c r="C163" i="37" s="1"/>
  <c r="C173" i="37" s="1"/>
  <c r="C183" i="37" s="1"/>
  <c r="C193" i="37" s="1"/>
  <c r="C203" i="37" s="1"/>
  <c r="C213" i="37" s="1"/>
  <c r="C223" i="37" s="1"/>
  <c r="C233" i="37" s="1"/>
  <c r="C243" i="37" s="1"/>
  <c r="C253" i="37" s="1"/>
  <c r="C263" i="37" s="1"/>
  <c r="C273" i="37" s="1"/>
  <c r="C283" i="37" s="1"/>
  <c r="C293" i="37" s="1"/>
  <c r="C303" i="37" s="1"/>
  <c r="C313" i="37" s="1"/>
  <c r="C323" i="37" s="1"/>
  <c r="C333" i="37" s="1"/>
  <c r="C343" i="37" s="1"/>
  <c r="C353" i="37" s="1"/>
  <c r="C363" i="37" s="1"/>
  <c r="C373" i="37" s="1"/>
  <c r="C383" i="37" s="1"/>
  <c r="C393" i="37" s="1"/>
  <c r="C403" i="37" s="1"/>
  <c r="C413" i="37" s="1"/>
  <c r="C423" i="37" s="1"/>
  <c r="C433" i="37" s="1"/>
  <c r="C443" i="37" s="1"/>
  <c r="C453" i="37" s="1"/>
  <c r="C463" i="37" s="1"/>
  <c r="C473" i="37" s="1"/>
  <c r="C483" i="37" s="1"/>
  <c r="C493" i="37" s="1"/>
  <c r="C503" i="37" s="1"/>
  <c r="C513" i="37" s="1"/>
  <c r="C523" i="37" s="1"/>
  <c r="C533" i="37" s="1"/>
  <c r="C543" i="37" s="1"/>
  <c r="C553" i="37" s="1"/>
  <c r="C563" i="37" s="1"/>
  <c r="C573" i="37" s="1"/>
  <c r="C583" i="37" s="1"/>
  <c r="C593" i="37" s="1"/>
  <c r="C603" i="37" s="1"/>
  <c r="C613" i="37" s="1"/>
  <c r="C623" i="37" s="1"/>
  <c r="C633" i="37" s="1"/>
  <c r="D153" i="37"/>
  <c r="D163" i="37" s="1"/>
  <c r="G11" i="37"/>
  <c r="H11" i="37"/>
  <c r="I11" i="37"/>
  <c r="J11" i="37"/>
  <c r="K11" i="37"/>
  <c r="L11" i="37"/>
  <c r="D173" i="37"/>
  <c r="D183" i="37" s="1"/>
  <c r="D193" i="37" s="1"/>
  <c r="D203" i="37" s="1"/>
  <c r="D213" i="37" s="1"/>
  <c r="D223" i="37" s="1"/>
  <c r="D233" i="37" s="1"/>
  <c r="D243" i="37" s="1"/>
  <c r="D253" i="37" s="1"/>
  <c r="D263" i="37" s="1"/>
  <c r="D273" i="37" s="1"/>
  <c r="D283" i="37" s="1"/>
  <c r="D293" i="37" s="1"/>
  <c r="D303" i="37" s="1"/>
  <c r="D313" i="37" s="1"/>
  <c r="D323" i="37" s="1"/>
  <c r="D333" i="37" s="1"/>
  <c r="D343" i="37" s="1"/>
  <c r="D353" i="37" s="1"/>
  <c r="D363" i="37" s="1"/>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M11" i="37"/>
  <c r="N11" i="37"/>
  <c r="O11" i="37"/>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C154" i="37"/>
  <c r="C164" i="37" s="1"/>
  <c r="C174" i="37" s="1"/>
  <c r="C184" i="37" s="1"/>
  <c r="C194" i="37" s="1"/>
  <c r="C204" i="37" s="1"/>
  <c r="C214" i="37" s="1"/>
  <c r="C224" i="37" s="1"/>
  <c r="C234" i="37" s="1"/>
  <c r="C244" i="37" s="1"/>
  <c r="C254" i="37" s="1"/>
  <c r="C264" i="37" s="1"/>
  <c r="C274" i="37" s="1"/>
  <c r="C284" i="37" s="1"/>
  <c r="C294" i="37" s="1"/>
  <c r="C304" i="37" s="1"/>
  <c r="C314" i="37" s="1"/>
  <c r="C324" i="37" s="1"/>
  <c r="C334" i="37" s="1"/>
  <c r="C344" i="37" s="1"/>
  <c r="C354" i="37" s="1"/>
  <c r="C364" i="37" s="1"/>
  <c r="C374" i="37" s="1"/>
  <c r="C384" i="37" s="1"/>
  <c r="C394" i="37" s="1"/>
  <c r="C404" i="37" s="1"/>
  <c r="C414" i="37" s="1"/>
  <c r="C424" i="37" s="1"/>
  <c r="C434" i="37" s="1"/>
  <c r="C444" i="37" s="1"/>
  <c r="C454" i="37" s="1"/>
  <c r="C464" i="37" s="1"/>
  <c r="C474" i="37" s="1"/>
  <c r="C484" i="37" s="1"/>
  <c r="C494" i="37" s="1"/>
  <c r="C504" i="37" s="1"/>
  <c r="C514" i="37" s="1"/>
  <c r="C524" i="37" s="1"/>
  <c r="C534" i="37" s="1"/>
  <c r="C544" i="37" s="1"/>
  <c r="C554" i="37" s="1"/>
  <c r="C564" i="37" s="1"/>
  <c r="C574" i="37" s="1"/>
  <c r="C584" i="37" s="1"/>
  <c r="C594" i="37" s="1"/>
  <c r="C604" i="37" s="1"/>
  <c r="C614" i="37" s="1"/>
  <c r="C624" i="37" s="1"/>
  <c r="C634" i="37" s="1"/>
  <c r="D154" i="37"/>
  <c r="D164" i="37" s="1"/>
  <c r="D174" i="37" s="1"/>
  <c r="D184" i="37" s="1"/>
  <c r="D194" i="37" s="1"/>
  <c r="G12" i="37"/>
  <c r="H12" i="37"/>
  <c r="I12" i="37"/>
  <c r="J12" i="37"/>
  <c r="K12" i="37"/>
  <c r="L12" i="37"/>
  <c r="M12" i="37"/>
  <c r="N12" i="37"/>
  <c r="O12" i="37"/>
  <c r="P12" i="37"/>
  <c r="Q12" i="37"/>
  <c r="R12" i="37"/>
  <c r="S12" i="37"/>
  <c r="T12" i="37"/>
  <c r="U12" i="37"/>
  <c r="D204" i="37"/>
  <c r="D214" i="37" s="1"/>
  <c r="D224" i="37" s="1"/>
  <c r="D234" i="37" s="1"/>
  <c r="D244" i="37" s="1"/>
  <c r="D254" i="37" s="1"/>
  <c r="D264" i="37" s="1"/>
  <c r="D274" i="37" s="1"/>
  <c r="D284" i="37" s="1"/>
  <c r="D294" i="37" s="1"/>
  <c r="D304" i="37" s="1"/>
  <c r="D314" i="37" s="1"/>
  <c r="D324" i="37" s="1"/>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D334" i="37"/>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D624" i="37"/>
  <c r="D634" i="37" s="1"/>
  <c r="ER12" i="37"/>
  <c r="ES12" i="37"/>
  <c r="ET12" i="37"/>
  <c r="EU12" i="37"/>
  <c r="B13" i="37"/>
  <c r="C13" i="37"/>
  <c r="E145" i="37" s="1"/>
  <c r="D13" i="37"/>
  <c r="E13" i="37"/>
  <c r="F13" i="37"/>
  <c r="C155" i="37"/>
  <c r="D155" i="37"/>
  <c r="D165" i="37" s="1"/>
  <c r="G13" i="37"/>
  <c r="H13" i="37"/>
  <c r="I13" i="37"/>
  <c r="E165" i="37" s="1"/>
  <c r="C165" i="37"/>
  <c r="C175" i="37" s="1"/>
  <c r="C185" i="37" s="1"/>
  <c r="C195" i="37" s="1"/>
  <c r="C205" i="37" s="1"/>
  <c r="C215" i="37" s="1"/>
  <c r="C225" i="37" s="1"/>
  <c r="C235" i="37" s="1"/>
  <c r="C245" i="37" s="1"/>
  <c r="J13" i="37"/>
  <c r="K13" i="37"/>
  <c r="L13" i="37"/>
  <c r="D175" i="37"/>
  <c r="D185" i="37" s="1"/>
  <c r="D195" i="37" s="1"/>
  <c r="D205" i="37" s="1"/>
  <c r="D215" i="37" s="1"/>
  <c r="D225" i="37" s="1"/>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M13" i="37"/>
  <c r="N13" i="37"/>
  <c r="O13" i="37"/>
  <c r="P13" i="37"/>
  <c r="Q13" i="37"/>
  <c r="R13" i="37"/>
  <c r="S13" i="37"/>
  <c r="T13" i="37"/>
  <c r="U13" i="37"/>
  <c r="V13" i="37"/>
  <c r="W13" i="37"/>
  <c r="X13" i="37"/>
  <c r="Y13" i="37"/>
  <c r="Z13" i="37"/>
  <c r="AA13" i="37"/>
  <c r="AB13" i="37"/>
  <c r="AC13" i="37"/>
  <c r="AD13" i="37"/>
  <c r="AE13" i="37"/>
  <c r="AF13" i="37"/>
  <c r="AG13" i="37"/>
  <c r="AH13" i="37"/>
  <c r="AI13" i="37"/>
  <c r="AJ13" i="37"/>
  <c r="C255" i="37"/>
  <c r="C265" i="37" s="1"/>
  <c r="AK13" i="37"/>
  <c r="AL13" i="37"/>
  <c r="AM13" i="37"/>
  <c r="AN13" i="37"/>
  <c r="AO13" i="37"/>
  <c r="AP13" i="37"/>
  <c r="C275" i="37"/>
  <c r="C285" i="37" s="1"/>
  <c r="C295" i="37" s="1"/>
  <c r="C305" i="37" s="1"/>
  <c r="C315" i="37" s="1"/>
  <c r="C325" i="37" s="1"/>
  <c r="C335" i="37" s="1"/>
  <c r="C345" i="37" s="1"/>
  <c r="C355" i="37" s="1"/>
  <c r="C365" i="37" s="1"/>
  <c r="C375" i="37" s="1"/>
  <c r="C385" i="37" s="1"/>
  <c r="C395" i="37" s="1"/>
  <c r="C405" i="37" s="1"/>
  <c r="C415" i="37" s="1"/>
  <c r="C425" i="37" s="1"/>
  <c r="C435" i="37" s="1"/>
  <c r="C445" i="37" s="1"/>
  <c r="C455" i="37" s="1"/>
  <c r="C465" i="37" s="1"/>
  <c r="C475" i="37" s="1"/>
  <c r="C485" i="37" s="1"/>
  <c r="C495" i="37" s="1"/>
  <c r="C505" i="37" s="1"/>
  <c r="C515" i="37" s="1"/>
  <c r="C525" i="37" s="1"/>
  <c r="C535" i="37" s="1"/>
  <c r="C545" i="37" s="1"/>
  <c r="C555" i="37" s="1"/>
  <c r="C565" i="37" s="1"/>
  <c r="C575" i="37" s="1"/>
  <c r="C585" i="37" s="1"/>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C156" i="37"/>
  <c r="C166" i="37" s="1"/>
  <c r="D156" i="37"/>
  <c r="D166" i="37" s="1"/>
  <c r="G14" i="37"/>
  <c r="H14" i="37"/>
  <c r="I14" i="37"/>
  <c r="J14" i="37"/>
  <c r="K14" i="37"/>
  <c r="L14" i="37"/>
  <c r="C176" i="37"/>
  <c r="C186" i="37" s="1"/>
  <c r="C196" i="37" s="1"/>
  <c r="C206" i="37" s="1"/>
  <c r="C216" i="37" s="1"/>
  <c r="C226" i="37" s="1"/>
  <c r="C236" i="37" s="1"/>
  <c r="C246" i="37" s="1"/>
  <c r="C256" i="37" s="1"/>
  <c r="C266" i="37" s="1"/>
  <c r="C276" i="37" s="1"/>
  <c r="C286" i="37" s="1"/>
  <c r="C296" i="37" s="1"/>
  <c r="C306" i="37" s="1"/>
  <c r="C316" i="37" s="1"/>
  <c r="C326" i="37" s="1"/>
  <c r="C336" i="37" s="1"/>
  <c r="C346" i="37" s="1"/>
  <c r="C356" i="37" s="1"/>
  <c r="C366" i="37" s="1"/>
  <c r="C376" i="37" s="1"/>
  <c r="C386" i="37" s="1"/>
  <c r="C396" i="37" s="1"/>
  <c r="C406" i="37" s="1"/>
  <c r="C416" i="37" s="1"/>
  <c r="C426" i="37" s="1"/>
  <c r="C436" i="37" s="1"/>
  <c r="C446" i="37" s="1"/>
  <c r="C456" i="37" s="1"/>
  <c r="C466" i="37" s="1"/>
  <c r="C476" i="37" s="1"/>
  <c r="C486" i="37" s="1"/>
  <c r="C496" i="37" s="1"/>
  <c r="C506" i="37" s="1"/>
  <c r="C516" i="37" s="1"/>
  <c r="C526" i="37" s="1"/>
  <c r="C536" i="37" s="1"/>
  <c r="C546" i="37" s="1"/>
  <c r="C556" i="37" s="1"/>
  <c r="D176" i="37"/>
  <c r="M14" i="37"/>
  <c r="N14" i="37"/>
  <c r="O14" i="37"/>
  <c r="D186" i="37"/>
  <c r="D196" i="37" s="1"/>
  <c r="P14" i="37"/>
  <c r="Q14" i="37"/>
  <c r="R14" i="37"/>
  <c r="E196" i="37" s="1"/>
  <c r="S14" i="37"/>
  <c r="T14" i="37"/>
  <c r="U14" i="37"/>
  <c r="D206" i="37"/>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C566" i="37"/>
  <c r="C576" i="37" s="1"/>
  <c r="C586" i="37" s="1"/>
  <c r="C596" i="37" s="1"/>
  <c r="C606" i="37" s="1"/>
  <c r="C616" i="37" s="1"/>
  <c r="C626" i="37" s="1"/>
  <c r="C636" i="37" s="1"/>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C157" i="37"/>
  <c r="D157" i="37"/>
  <c r="D167" i="37" s="1"/>
  <c r="D177" i="37" s="1"/>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G15" i="37"/>
  <c r="H15" i="37"/>
  <c r="I15" i="37"/>
  <c r="C167" i="37"/>
  <c r="C177" i="37" s="1"/>
  <c r="C187" i="37" s="1"/>
  <c r="C197" i="37" s="1"/>
  <c r="C207" i="37" s="1"/>
  <c r="C217" i="37" s="1"/>
  <c r="C227" i="37" s="1"/>
  <c r="C237" i="37" s="1"/>
  <c r="C247" i="37" s="1"/>
  <c r="C257" i="37" s="1"/>
  <c r="C267" i="37" s="1"/>
  <c r="C277" i="37" s="1"/>
  <c r="C287" i="37" s="1"/>
  <c r="C297" i="37" s="1"/>
  <c r="C307" i="37" s="1"/>
  <c r="C317" i="37" s="1"/>
  <c r="C327" i="37" s="1"/>
  <c r="C337" i="37" s="1"/>
  <c r="C347" i="37" s="1"/>
  <c r="C357" i="37" s="1"/>
  <c r="C367" i="37" s="1"/>
  <c r="C377" i="37" s="1"/>
  <c r="C387" i="37" s="1"/>
  <c r="C397" i="37" s="1"/>
  <c r="C407" i="37" s="1"/>
  <c r="C417" i="37" s="1"/>
  <c r="C427" i="37" s="1"/>
  <c r="C437" i="37" s="1"/>
  <c r="C447" i="37" s="1"/>
  <c r="C457" i="37" s="1"/>
  <c r="C467" i="37" s="1"/>
  <c r="C477" i="37" s="1"/>
  <c r="C487" i="37" s="1"/>
  <c r="C497" i="37" s="1"/>
  <c r="C507" i="37" s="1"/>
  <c r="C517" i="37" s="1"/>
  <c r="C527" i="37" s="1"/>
  <c r="C537" i="37" s="1"/>
  <c r="C547" i="37" s="1"/>
  <c r="C557" i="37" s="1"/>
  <c r="C567" i="37" s="1"/>
  <c r="C577" i="37" s="1"/>
  <c r="C587" i="37" s="1"/>
  <c r="C597" i="37" s="1"/>
  <c r="C607" i="37" s="1"/>
  <c r="C617" i="37" s="1"/>
  <c r="C627" i="37" s="1"/>
  <c r="C637" i="37" s="1"/>
  <c r="J15" i="37"/>
  <c r="K15" i="37"/>
  <c r="L15" i="37"/>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E158" i="37" s="1"/>
  <c r="C158" i="37"/>
  <c r="C168" i="37" s="1"/>
  <c r="C178" i="37" s="1"/>
  <c r="C188" i="37" s="1"/>
  <c r="C198" i="37" s="1"/>
  <c r="C208" i="37" s="1"/>
  <c r="C218" i="37" s="1"/>
  <c r="C228" i="37" s="1"/>
  <c r="C238" i="37" s="1"/>
  <c r="C248" i="37" s="1"/>
  <c r="C258" i="37" s="1"/>
  <c r="C268" i="37" s="1"/>
  <c r="C278" i="37" s="1"/>
  <c r="C288" i="37" s="1"/>
  <c r="C298" i="37" s="1"/>
  <c r="C308" i="37" s="1"/>
  <c r="C318" i="37" s="1"/>
  <c r="C328" i="37" s="1"/>
  <c r="C338" i="37" s="1"/>
  <c r="C348" i="37" s="1"/>
  <c r="C358" i="37" s="1"/>
  <c r="C368" i="37" s="1"/>
  <c r="C378" i="37" s="1"/>
  <c r="C388" i="37" s="1"/>
  <c r="C398" i="37" s="1"/>
  <c r="C408" i="37" s="1"/>
  <c r="C418" i="37" s="1"/>
  <c r="C428" i="37" s="1"/>
  <c r="C438" i="37" s="1"/>
  <c r="C448" i="37" s="1"/>
  <c r="C458" i="37" s="1"/>
  <c r="C468" i="37" s="1"/>
  <c r="C478" i="37" s="1"/>
  <c r="C488" i="37" s="1"/>
  <c r="C498" i="37" s="1"/>
  <c r="C508" i="37" s="1"/>
  <c r="C518" i="37" s="1"/>
  <c r="C528" i="37" s="1"/>
  <c r="C538" i="37" s="1"/>
  <c r="C548" i="37" s="1"/>
  <c r="C558" i="37" s="1"/>
  <c r="C568" i="37" s="1"/>
  <c r="C578" i="37" s="1"/>
  <c r="C588" i="37" s="1"/>
  <c r="C598" i="37" s="1"/>
  <c r="C608" i="37" s="1"/>
  <c r="C618" i="37" s="1"/>
  <c r="C628" i="37" s="1"/>
  <c r="C638" i="37" s="1"/>
  <c r="D158" i="37"/>
  <c r="G16" i="37"/>
  <c r="H16" i="37"/>
  <c r="I16" i="37"/>
  <c r="D168" i="37"/>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E159" i="37" s="1"/>
  <c r="C159" i="37"/>
  <c r="D159" i="37"/>
  <c r="D169" i="37" s="1"/>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G17" i="37"/>
  <c r="H17" i="37"/>
  <c r="I17" i="37"/>
  <c r="C169" i="37"/>
  <c r="C179" i="37" s="1"/>
  <c r="C189" i="37" s="1"/>
  <c r="C199" i="37" s="1"/>
  <c r="C209" i="37" s="1"/>
  <c r="C219" i="37" s="1"/>
  <c r="C229" i="37" s="1"/>
  <c r="C239" i="37" s="1"/>
  <c r="C249" i="37" s="1"/>
  <c r="C259" i="37" s="1"/>
  <c r="C269" i="37" s="1"/>
  <c r="C279" i="37" s="1"/>
  <c r="C289" i="37" s="1"/>
  <c r="C299" i="37" s="1"/>
  <c r="C309" i="37" s="1"/>
  <c r="C319" i="37" s="1"/>
  <c r="C329" i="37" s="1"/>
  <c r="C339" i="37" s="1"/>
  <c r="C349" i="37" s="1"/>
  <c r="C359" i="37" s="1"/>
  <c r="C369" i="37" s="1"/>
  <c r="C379" i="37" s="1"/>
  <c r="C389" i="37" s="1"/>
  <c r="C399" i="37" s="1"/>
  <c r="C409" i="37" s="1"/>
  <c r="C419" i="37" s="1"/>
  <c r="C429" i="37" s="1"/>
  <c r="C439" i="37" s="1"/>
  <c r="C449" i="37" s="1"/>
  <c r="C459" i="37" s="1"/>
  <c r="C469" i="37" s="1"/>
  <c r="C479" i="37" s="1"/>
  <c r="C489" i="37" s="1"/>
  <c r="C499" i="37" s="1"/>
  <c r="C509" i="37" s="1"/>
  <c r="C519" i="37" s="1"/>
  <c r="C529" i="37" s="1"/>
  <c r="C539" i="37" s="1"/>
  <c r="C549" i="37" s="1"/>
  <c r="C559" i="37" s="1"/>
  <c r="C569" i="37" s="1"/>
  <c r="C579" i="37" s="1"/>
  <c r="C589" i="37" s="1"/>
  <c r="C599" i="37" s="1"/>
  <c r="C609" i="37" s="1"/>
  <c r="C619" i="37" s="1"/>
  <c r="C629" i="37" s="1"/>
  <c r="C639" i="37" s="1"/>
  <c r="J17" i="37"/>
  <c r="K17" i="37"/>
  <c r="L17" i="37"/>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C160" i="37"/>
  <c r="C170" i="37" s="1"/>
  <c r="C180" i="37" s="1"/>
  <c r="C190" i="37" s="1"/>
  <c r="C200" i="37" s="1"/>
  <c r="C210" i="37" s="1"/>
  <c r="C220" i="37" s="1"/>
  <c r="C230" i="37" s="1"/>
  <c r="C240" i="37" s="1"/>
  <c r="C250" i="37" s="1"/>
  <c r="C260" i="37" s="1"/>
  <c r="C270" i="37" s="1"/>
  <c r="C280" i="37" s="1"/>
  <c r="C290" i="37" s="1"/>
  <c r="C300" i="37" s="1"/>
  <c r="C310" i="37" s="1"/>
  <c r="C320" i="37" s="1"/>
  <c r="C330" i="37" s="1"/>
  <c r="C340" i="37" s="1"/>
  <c r="C350" i="37" s="1"/>
  <c r="C360" i="37" s="1"/>
  <c r="C370" i="37" s="1"/>
  <c r="C380" i="37" s="1"/>
  <c r="C390" i="37" s="1"/>
  <c r="C400" i="37" s="1"/>
  <c r="C410" i="37" s="1"/>
  <c r="C420" i="37" s="1"/>
  <c r="C430" i="37" s="1"/>
  <c r="C440" i="37" s="1"/>
  <c r="C450" i="37" s="1"/>
  <c r="C460" i="37" s="1"/>
  <c r="C470" i="37" s="1"/>
  <c r="C480" i="37" s="1"/>
  <c r="C490" i="37" s="1"/>
  <c r="C500" i="37" s="1"/>
  <c r="C510" i="37" s="1"/>
  <c r="C520" i="37" s="1"/>
  <c r="C530" i="37" s="1"/>
  <c r="C540" i="37" s="1"/>
  <c r="C550" i="37" s="1"/>
  <c r="C560" i="37" s="1"/>
  <c r="D160" i="37"/>
  <c r="D170" i="37" s="1"/>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D420" i="37" s="1"/>
  <c r="D430" i="37" s="1"/>
  <c r="D440" i="37" s="1"/>
  <c r="D450" i="37" s="1"/>
  <c r="D460" i="37" s="1"/>
  <c r="D470" i="37" s="1"/>
  <c r="D480" i="37" s="1"/>
  <c r="D490" i="37" s="1"/>
  <c r="D500" i="37" s="1"/>
  <c r="D510" i="37" s="1"/>
  <c r="D520" i="37" s="1"/>
  <c r="D530" i="37" s="1"/>
  <c r="D540" i="37" s="1"/>
  <c r="D550" i="37" s="1"/>
  <c r="D560" i="37" s="1"/>
  <c r="D570" i="37" s="1"/>
  <c r="D580" i="37" s="1"/>
  <c r="D590" i="37" s="1"/>
  <c r="D600" i="37" s="1"/>
  <c r="D610" i="37" s="1"/>
  <c r="D620" i="37" s="1"/>
  <c r="D630" i="37" s="1"/>
  <c r="D640" i="37" s="1"/>
  <c r="G18" i="37"/>
  <c r="H18" i="37"/>
  <c r="I18" i="37"/>
  <c r="J18" i="37"/>
  <c r="K18" i="37"/>
  <c r="L18" i="37"/>
  <c r="M18" i="37"/>
  <c r="N18" i="37"/>
  <c r="O18" i="37"/>
  <c r="P18" i="37"/>
  <c r="Q18" i="37"/>
  <c r="R18" i="37"/>
  <c r="S18" i="37"/>
  <c r="T18" i="37"/>
  <c r="U18" i="37"/>
  <c r="V18" i="37"/>
  <c r="W18" i="37"/>
  <c r="X18" i="37"/>
  <c r="Y18" i="37"/>
  <c r="Z18" i="37"/>
  <c r="AA18" i="37"/>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CA18" i="37"/>
  <c r="CB18" i="37"/>
  <c r="CC18" i="37"/>
  <c r="CD18" i="37"/>
  <c r="CE18" i="37"/>
  <c r="CF18" i="37"/>
  <c r="CG18" i="37"/>
  <c r="CH18" i="37"/>
  <c r="CI18" i="37"/>
  <c r="CJ18" i="37"/>
  <c r="CK18" i="37"/>
  <c r="CL18" i="37"/>
  <c r="CM18" i="37"/>
  <c r="CN18" i="37"/>
  <c r="CO18" i="37"/>
  <c r="CP18" i="37"/>
  <c r="CQ18" i="37"/>
  <c r="CR18" i="37"/>
  <c r="CS18" i="37"/>
  <c r="CT18" i="37"/>
  <c r="CU18" i="37"/>
  <c r="CV18" i="37"/>
  <c r="CW18" i="37"/>
  <c r="CX18" i="37"/>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C161" i="37"/>
  <c r="C171" i="37" s="1"/>
  <c r="C181" i="37" s="1"/>
  <c r="C191" i="37" s="1"/>
  <c r="C201" i="37" s="1"/>
  <c r="C211" i="37" s="1"/>
  <c r="C221" i="37" s="1"/>
  <c r="C231" i="37" s="1"/>
  <c r="C241" i="37" s="1"/>
  <c r="C251" i="37" s="1"/>
  <c r="C261" i="37" s="1"/>
  <c r="C271" i="37" s="1"/>
  <c r="C281" i="37" s="1"/>
  <c r="C291" i="37" s="1"/>
  <c r="C301" i="37" s="1"/>
  <c r="C311" i="37" s="1"/>
  <c r="C321" i="37" s="1"/>
  <c r="C331" i="37" s="1"/>
  <c r="C341" i="37" s="1"/>
  <c r="C351" i="37" s="1"/>
  <c r="C361" i="37" s="1"/>
  <c r="C371" i="37" s="1"/>
  <c r="C381" i="37" s="1"/>
  <c r="C391" i="37" s="1"/>
  <c r="C401" i="37" s="1"/>
  <c r="C411" i="37" s="1"/>
  <c r="C421" i="37" s="1"/>
  <c r="C431" i="37" s="1"/>
  <c r="C441" i="37" s="1"/>
  <c r="C451" i="37" s="1"/>
  <c r="C461" i="37" s="1"/>
  <c r="C471" i="37" s="1"/>
  <c r="C481" i="37" s="1"/>
  <c r="C491" i="37" s="1"/>
  <c r="C501" i="37" s="1"/>
  <c r="C511" i="37" s="1"/>
  <c r="C521" i="37" s="1"/>
  <c r="C531" i="37" s="1"/>
  <c r="C541" i="37" s="1"/>
  <c r="C551" i="37" s="1"/>
  <c r="C561" i="37" s="1"/>
  <c r="C571" i="37" s="1"/>
  <c r="C581" i="37" s="1"/>
  <c r="C591" i="37" s="1"/>
  <c r="C601" i="37" s="1"/>
  <c r="C611" i="37" s="1"/>
  <c r="C621" i="37" s="1"/>
  <c r="C631" i="37" s="1"/>
  <c r="C641" i="37" s="1"/>
  <c r="D161" i="37"/>
  <c r="G19" i="37"/>
  <c r="H19" i="37"/>
  <c r="I19" i="37"/>
  <c r="D171" i="37"/>
  <c r="D181" i="37" s="1"/>
  <c r="D191" i="37" s="1"/>
  <c r="D201" i="37" s="1"/>
  <c r="D211" i="37" s="1"/>
  <c r="D221" i="37" s="1"/>
  <c r="D231" i="37" s="1"/>
  <c r="D241" i="37" s="1"/>
  <c r="D251" i="37" s="1"/>
  <c r="D261" i="37" s="1"/>
  <c r="D271" i="37" s="1"/>
  <c r="D281" i="37" s="1"/>
  <c r="D291" i="37" s="1"/>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J19" i="37"/>
  <c r="K19" i="37"/>
  <c r="L19" i="37"/>
  <c r="M19" i="37"/>
  <c r="N19" i="37"/>
  <c r="O19" i="37"/>
  <c r="P19" i="37"/>
  <c r="Q19" i="37"/>
  <c r="R19" i="37"/>
  <c r="S19" i="37"/>
  <c r="T19" i="37"/>
  <c r="U19" i="37"/>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E162" i="37" s="1"/>
  <c r="C162" i="37"/>
  <c r="C172" i="37" s="1"/>
  <c r="C182" i="37" s="1"/>
  <c r="C192" i="37" s="1"/>
  <c r="C202" i="37" s="1"/>
  <c r="C212" i="37" s="1"/>
  <c r="C222" i="37" s="1"/>
  <c r="C232" i="37" s="1"/>
  <c r="C242" i="37" s="1"/>
  <c r="C252" i="37" s="1"/>
  <c r="C262" i="37" s="1"/>
  <c r="C272" i="37" s="1"/>
  <c r="C282" i="37" s="1"/>
  <c r="C292" i="37" s="1"/>
  <c r="C302" i="37" s="1"/>
  <c r="C312" i="37" s="1"/>
  <c r="C322" i="37" s="1"/>
  <c r="C332" i="37" s="1"/>
  <c r="C342" i="37" s="1"/>
  <c r="C352" i="37" s="1"/>
  <c r="C362" i="37" s="1"/>
  <c r="C372" i="37" s="1"/>
  <c r="C382" i="37" s="1"/>
  <c r="C392" i="37" s="1"/>
  <c r="C402" i="37" s="1"/>
  <c r="C412" i="37" s="1"/>
  <c r="C422" i="37" s="1"/>
  <c r="C432" i="37" s="1"/>
  <c r="C442" i="37" s="1"/>
  <c r="C452" i="37" s="1"/>
  <c r="C462" i="37" s="1"/>
  <c r="C472" i="37" s="1"/>
  <c r="C482" i="37" s="1"/>
  <c r="C492" i="37" s="1"/>
  <c r="C502" i="37" s="1"/>
  <c r="C512" i="37" s="1"/>
  <c r="C522" i="37" s="1"/>
  <c r="C532" i="37" s="1"/>
  <c r="C542" i="37" s="1"/>
  <c r="C552" i="37" s="1"/>
  <c r="C562" i="37" s="1"/>
  <c r="C572" i="37" s="1"/>
  <c r="C582" i="37" s="1"/>
  <c r="C592" i="37" s="1"/>
  <c r="C602" i="37" s="1"/>
  <c r="C612" i="37" s="1"/>
  <c r="C622" i="37" s="1"/>
  <c r="C632" i="37" s="1"/>
  <c r="C642" i="37" s="1"/>
  <c r="D162" i="37"/>
  <c r="D172" i="37" s="1"/>
  <c r="D182" i="37" s="1"/>
  <c r="D192" i="37" s="1"/>
  <c r="D202" i="37" s="1"/>
  <c r="D212" i="37" s="1"/>
  <c r="D222" i="37" s="1"/>
  <c r="D232" i="37" s="1"/>
  <c r="D242" i="37" s="1"/>
  <c r="D252" i="37" s="1"/>
  <c r="D262" i="37" s="1"/>
  <c r="D272" i="37" s="1"/>
  <c r="D282" i="37" s="1"/>
  <c r="D292" i="37" s="1"/>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G20" i="37"/>
  <c r="H20" i="37"/>
  <c r="I20" i="37"/>
  <c r="J20" i="37"/>
  <c r="K20" i="37"/>
  <c r="L20" i="37"/>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D644" i="37"/>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D694" i="37"/>
  <c r="H36" i="37"/>
  <c r="I36" i="37"/>
  <c r="J36" i="37"/>
  <c r="D695" i="37"/>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D722" i="37" s="1"/>
  <c r="D723" i="37" s="1"/>
  <c r="D724" i="37" s="1"/>
  <c r="D725" i="37" s="1"/>
  <c r="D726" i="37" s="1"/>
  <c r="D727" i="37" s="1"/>
  <c r="D728" i="37" s="1"/>
  <c r="D729" i="37" s="1"/>
  <c r="D730" i="37" s="1"/>
  <c r="D731" i="37" s="1"/>
  <c r="D732" i="37" s="1"/>
  <c r="D733" i="37" s="1"/>
  <c r="D734" i="37" s="1"/>
  <c r="D735" i="37" s="1"/>
  <c r="D736" i="37" s="1"/>
  <c r="D737" i="37" s="1"/>
  <c r="D738" i="37" s="1"/>
  <c r="D739" i="37" s="1"/>
  <c r="D740" i="37" s="1"/>
  <c r="D741" i="37" s="1"/>
  <c r="D742" i="37" s="1"/>
  <c r="K36" i="37"/>
  <c r="L36" i="37"/>
  <c r="M36" i="37"/>
  <c r="N36" i="37"/>
  <c r="O36" i="37"/>
  <c r="P36" i="37"/>
  <c r="Q36" i="37"/>
  <c r="R36" i="37"/>
  <c r="S36" i="37"/>
  <c r="T36" i="37"/>
  <c r="U36" i="37"/>
  <c r="V36" i="37"/>
  <c r="W36" i="37"/>
  <c r="X36" i="37"/>
  <c r="Y36" i="37"/>
  <c r="Z36" i="37"/>
  <c r="AA36" i="37"/>
  <c r="AB36" i="37"/>
  <c r="AC36" i="37"/>
  <c r="AD36" i="37"/>
  <c r="AE36" i="37"/>
  <c r="AF36" i="37"/>
  <c r="AG36" i="37"/>
  <c r="AH36" i="37"/>
  <c r="E703" i="37" s="1"/>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E711" i="37" s="1"/>
  <c r="BG36" i="37"/>
  <c r="BH36" i="37"/>
  <c r="BI36" i="37"/>
  <c r="BJ36" i="37"/>
  <c r="BK36" i="37"/>
  <c r="BL36" i="37"/>
  <c r="BM36" i="37"/>
  <c r="BN36" i="37"/>
  <c r="BO36" i="37"/>
  <c r="BP36" i="37"/>
  <c r="BQ36" i="37"/>
  <c r="BR36" i="37"/>
  <c r="E715" i="37" s="1"/>
  <c r="BS36" i="37"/>
  <c r="BT36" i="37"/>
  <c r="BU36" i="37"/>
  <c r="BV36" i="37"/>
  <c r="BW36" i="37"/>
  <c r="BX36" i="37"/>
  <c r="BY36" i="37"/>
  <c r="BZ36" i="37"/>
  <c r="CA36" i="37"/>
  <c r="E718" i="37" s="1"/>
  <c r="CB36" i="37"/>
  <c r="CC36" i="37"/>
  <c r="CD36" i="37"/>
  <c r="E719" i="37" s="1"/>
  <c r="CE36" i="37"/>
  <c r="CF36" i="37"/>
  <c r="CG36" i="37"/>
  <c r="CH36" i="37"/>
  <c r="CI36" i="37"/>
  <c r="CJ36" i="37"/>
  <c r="E721" i="37" s="1"/>
  <c r="CK36" i="37"/>
  <c r="CL36" i="37"/>
  <c r="CM36" i="37"/>
  <c r="E722" i="37" s="1"/>
  <c r="CN36" i="37"/>
  <c r="CO36" i="37"/>
  <c r="CP36" i="37"/>
  <c r="E723" i="37" s="1"/>
  <c r="CQ36" i="37"/>
  <c r="CR36" i="37"/>
  <c r="CS36" i="37"/>
  <c r="CT36" i="37"/>
  <c r="CU36" i="37"/>
  <c r="CV36" i="37"/>
  <c r="CW36" i="37"/>
  <c r="CX36" i="37"/>
  <c r="CY36" i="37"/>
  <c r="E726" i="37" s="1"/>
  <c r="CZ36" i="37"/>
  <c r="DA36" i="37"/>
  <c r="DB36" i="37"/>
  <c r="E727" i="37" s="1"/>
  <c r="DC36" i="37"/>
  <c r="DD36" i="37"/>
  <c r="DE36" i="37"/>
  <c r="DF36" i="37"/>
  <c r="DG36" i="37"/>
  <c r="DH36" i="37"/>
  <c r="E729" i="37" s="1"/>
  <c r="DI36" i="37"/>
  <c r="DJ36" i="37"/>
  <c r="DK36" i="37"/>
  <c r="E730" i="37" s="1"/>
  <c r="DL36" i="37"/>
  <c r="DM36" i="37"/>
  <c r="DN36" i="37"/>
  <c r="E731" i="37" s="1"/>
  <c r="DO36" i="37"/>
  <c r="DP36" i="37"/>
  <c r="DQ36" i="37"/>
  <c r="DR36" i="37"/>
  <c r="DS36" i="37"/>
  <c r="DT36" i="37"/>
  <c r="E733" i="37" s="1"/>
  <c r="DU36" i="37"/>
  <c r="DV36" i="37"/>
  <c r="DW36" i="37"/>
  <c r="E734" i="37" s="1"/>
  <c r="DX36" i="37"/>
  <c r="DY36" i="37"/>
  <c r="DZ36" i="37"/>
  <c r="E735" i="37" s="1"/>
  <c r="EA36" i="37"/>
  <c r="EB36" i="37"/>
  <c r="EC36" i="37"/>
  <c r="ED36" i="37"/>
  <c r="EE36" i="37"/>
  <c r="EF36" i="37"/>
  <c r="E737" i="37" s="1"/>
  <c r="EG36" i="37"/>
  <c r="EH36" i="37"/>
  <c r="EI36" i="37"/>
  <c r="E738" i="37" s="1"/>
  <c r="EJ36" i="37"/>
  <c r="EK36" i="37"/>
  <c r="EL36" i="37"/>
  <c r="E739" i="37" s="1"/>
  <c r="EM36" i="37"/>
  <c r="EN36" i="37"/>
  <c r="EO36" i="37"/>
  <c r="E740" i="37" s="1"/>
  <c r="EP36" i="37"/>
  <c r="EQ36" i="37"/>
  <c r="ER36" i="37"/>
  <c r="E741" i="37" s="1"/>
  <c r="ES36" i="37"/>
  <c r="ET36" i="37"/>
  <c r="EU36" i="37"/>
  <c r="E742" i="37" s="1"/>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C753" i="37"/>
  <c r="C763" i="37" s="1"/>
  <c r="C773" i="37" s="1"/>
  <c r="C783" i="37" s="1"/>
  <c r="C793" i="37" s="1"/>
  <c r="C803" i="37" s="1"/>
  <c r="C813" i="37" s="1"/>
  <c r="C823" i="37" s="1"/>
  <c r="C833" i="37" s="1"/>
  <c r="C843" i="37" s="1"/>
  <c r="C853" i="37" s="1"/>
  <c r="C863" i="37" s="1"/>
  <c r="C873" i="37" s="1"/>
  <c r="C883" i="37" s="1"/>
  <c r="C893" i="37" s="1"/>
  <c r="C903" i="37" s="1"/>
  <c r="C913" i="37" s="1"/>
  <c r="C923" i="37" s="1"/>
  <c r="C933" i="37" s="1"/>
  <c r="C943" i="37" s="1"/>
  <c r="C953" i="37" s="1"/>
  <c r="C963" i="37" s="1"/>
  <c r="C973" i="37" s="1"/>
  <c r="C983" i="37" s="1"/>
  <c r="C993" i="37" s="1"/>
  <c r="C1003" i="37" s="1"/>
  <c r="C1013" i="37" s="1"/>
  <c r="C1023" i="37" s="1"/>
  <c r="C1033" i="37" s="1"/>
  <c r="C1043" i="37" s="1"/>
  <c r="C1053" i="37" s="1"/>
  <c r="C1063" i="37" s="1"/>
  <c r="C1073" i="37" s="1"/>
  <c r="C1083" i="37" s="1"/>
  <c r="C1093" i="37" s="1"/>
  <c r="C1103" i="37" s="1"/>
  <c r="C1113" i="37" s="1"/>
  <c r="C1123" i="37" s="1"/>
  <c r="C1133" i="37" s="1"/>
  <c r="C1143" i="37" s="1"/>
  <c r="C1153" i="37" s="1"/>
  <c r="C1163" i="37" s="1"/>
  <c r="C1173" i="37" s="1"/>
  <c r="C1183" i="37" s="1"/>
  <c r="C1193" i="37" s="1"/>
  <c r="C1203" i="37" s="1"/>
  <c r="C1213" i="37" s="1"/>
  <c r="C1223" i="37" s="1"/>
  <c r="C1233" i="37" s="1"/>
  <c r="D753" i="37"/>
  <c r="G41" i="37"/>
  <c r="H41" i="37"/>
  <c r="I41" i="37"/>
  <c r="D763" i="37"/>
  <c r="D773" i="37" s="1"/>
  <c r="D783" i="37" s="1"/>
  <c r="D793" i="37" s="1"/>
  <c r="D803" i="37" s="1"/>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J41" i="37"/>
  <c r="K41" i="37"/>
  <c r="L41" i="37"/>
  <c r="M41" i="37"/>
  <c r="N41" i="37"/>
  <c r="O41" i="37"/>
  <c r="P41" i="37"/>
  <c r="Q41" i="37"/>
  <c r="R41" i="37"/>
  <c r="S41" i="37"/>
  <c r="T41" i="37"/>
  <c r="U41" i="37"/>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C754" i="37"/>
  <c r="C764" i="37" s="1"/>
  <c r="C774" i="37" s="1"/>
  <c r="C784" i="37" s="1"/>
  <c r="C794" i="37" s="1"/>
  <c r="D754" i="37"/>
  <c r="G42" i="37"/>
  <c r="H42" i="37"/>
  <c r="I42" i="37"/>
  <c r="D764" i="37"/>
  <c r="D774" i="37" s="1"/>
  <c r="D784" i="37" s="1"/>
  <c r="D794" i="37" s="1"/>
  <c r="D804" i="37" s="1"/>
  <c r="D814" i="37" s="1"/>
  <c r="D824" i="37" s="1"/>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J42" i="37"/>
  <c r="K42" i="37"/>
  <c r="L42" i="37"/>
  <c r="M42" i="37"/>
  <c r="N42" i="37"/>
  <c r="O42" i="37"/>
  <c r="P42" i="37"/>
  <c r="Q42" i="37"/>
  <c r="R42" i="37"/>
  <c r="S42" i="37"/>
  <c r="T42" i="37"/>
  <c r="U42" i="37"/>
  <c r="C804" i="37"/>
  <c r="C814" i="37" s="1"/>
  <c r="C824" i="37" s="1"/>
  <c r="C834" i="37" s="1"/>
  <c r="C844" i="37" s="1"/>
  <c r="C854" i="37" s="1"/>
  <c r="C864" i="37" s="1"/>
  <c r="C874" i="37" s="1"/>
  <c r="C884" i="37" s="1"/>
  <c r="C894" i="37" s="1"/>
  <c r="C904" i="37" s="1"/>
  <c r="C914" i="37" s="1"/>
  <c r="C924" i="37" s="1"/>
  <c r="C934" i="37" s="1"/>
  <c r="C944" i="37" s="1"/>
  <c r="C954" i="37" s="1"/>
  <c r="C964" i="37" s="1"/>
  <c r="C974" i="37" s="1"/>
  <c r="C984" i="37" s="1"/>
  <c r="C994" i="37" s="1"/>
  <c r="C1004" i="37" s="1"/>
  <c r="C1014" i="37" s="1"/>
  <c r="C1024" i="37" s="1"/>
  <c r="C1034" i="37" s="1"/>
  <c r="C1044" i="37" s="1"/>
  <c r="C1054" i="37" s="1"/>
  <c r="C1064" i="37" s="1"/>
  <c r="C1074" i="37" s="1"/>
  <c r="C1084" i="37" s="1"/>
  <c r="C1094" i="37" s="1"/>
  <c r="C1104" i="37" s="1"/>
  <c r="C1114" i="37" s="1"/>
  <c r="C1124" i="37" s="1"/>
  <c r="C1134" i="37" s="1"/>
  <c r="C1144" i="37" s="1"/>
  <c r="C1154" i="37" s="1"/>
  <c r="C1164" i="37" s="1"/>
  <c r="C1174" i="37" s="1"/>
  <c r="C1184" i="37" s="1"/>
  <c r="C1194" i="37" s="1"/>
  <c r="C1204" i="37" s="1"/>
  <c r="C1214" i="37" s="1"/>
  <c r="C1224" i="37" s="1"/>
  <c r="C1234" i="37" s="1"/>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EI42" i="37"/>
  <c r="EJ42" i="37"/>
  <c r="EK42" i="37"/>
  <c r="EL42" i="37"/>
  <c r="EM42" i="37"/>
  <c r="EN42" i="37"/>
  <c r="EO42" i="37"/>
  <c r="EP42" i="37"/>
  <c r="EQ42" i="37"/>
  <c r="ER42" i="37"/>
  <c r="ES42" i="37"/>
  <c r="ET42" i="37"/>
  <c r="EU42" i="37"/>
  <c r="B43" i="37"/>
  <c r="C43" i="37"/>
  <c r="E745" i="37" s="1"/>
  <c r="D43" i="37"/>
  <c r="E43" i="37"/>
  <c r="F43" i="37"/>
  <c r="C755" i="37"/>
  <c r="C765" i="37" s="1"/>
  <c r="C775" i="37" s="1"/>
  <c r="C785" i="37" s="1"/>
  <c r="C795" i="37" s="1"/>
  <c r="C805" i="37" s="1"/>
  <c r="C815" i="37" s="1"/>
  <c r="C825" i="37" s="1"/>
  <c r="C835" i="37" s="1"/>
  <c r="C845" i="37" s="1"/>
  <c r="C855" i="37" s="1"/>
  <c r="C865" i="37" s="1"/>
  <c r="C875" i="37" s="1"/>
  <c r="C885" i="37" s="1"/>
  <c r="C895" i="37" s="1"/>
  <c r="C905" i="37" s="1"/>
  <c r="C915" i="37" s="1"/>
  <c r="C925" i="37" s="1"/>
  <c r="C935" i="37" s="1"/>
  <c r="C945" i="37" s="1"/>
  <c r="C955" i="37" s="1"/>
  <c r="C965" i="37" s="1"/>
  <c r="C975" i="37" s="1"/>
  <c r="C985" i="37" s="1"/>
  <c r="C995" i="37" s="1"/>
  <c r="C1005" i="37" s="1"/>
  <c r="C1015" i="37" s="1"/>
  <c r="C1025" i="37" s="1"/>
  <c r="C1035" i="37" s="1"/>
  <c r="C1045" i="37" s="1"/>
  <c r="C1055" i="37" s="1"/>
  <c r="C1065" i="37" s="1"/>
  <c r="C1075" i="37" s="1"/>
  <c r="C1085" i="37" s="1"/>
  <c r="C1095" i="37" s="1"/>
  <c r="C1105" i="37" s="1"/>
  <c r="C1115" i="37" s="1"/>
  <c r="C1125" i="37" s="1"/>
  <c r="C1135" i="37" s="1"/>
  <c r="C1145" i="37" s="1"/>
  <c r="C1155" i="37" s="1"/>
  <c r="C1165" i="37" s="1"/>
  <c r="C1175" i="37" s="1"/>
  <c r="C1185" i="37" s="1"/>
  <c r="C1195" i="37" s="1"/>
  <c r="C1205" i="37" s="1"/>
  <c r="C1215" i="37" s="1"/>
  <c r="C1225" i="37" s="1"/>
  <c r="C1235" i="37" s="1"/>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43" i="37"/>
  <c r="H43" i="37"/>
  <c r="I43" i="37"/>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C756" i="37"/>
  <c r="C766" i="37" s="1"/>
  <c r="C776" i="37" s="1"/>
  <c r="C786" i="37" s="1"/>
  <c r="C796" i="37" s="1"/>
  <c r="D756" i="37"/>
  <c r="G44" i="37"/>
  <c r="H44" i="37"/>
  <c r="I44" i="37"/>
  <c r="D766" i="37"/>
  <c r="D776" i="37" s="1"/>
  <c r="D786" i="37" s="1"/>
  <c r="D796" i="37" s="1"/>
  <c r="D806" i="37" s="1"/>
  <c r="D816" i="37" s="1"/>
  <c r="D826" i="37" s="1"/>
  <c r="D836" i="37" s="1"/>
  <c r="J44" i="37"/>
  <c r="K44" i="37"/>
  <c r="L44" i="37"/>
  <c r="M44" i="37"/>
  <c r="N44" i="37"/>
  <c r="O44" i="37"/>
  <c r="E786" i="37" s="1"/>
  <c r="P44" i="37"/>
  <c r="Q44" i="37"/>
  <c r="R44" i="37"/>
  <c r="S44" i="37"/>
  <c r="T44" i="37"/>
  <c r="U44" i="37"/>
  <c r="C806" i="37"/>
  <c r="C816" i="37" s="1"/>
  <c r="C826" i="37" s="1"/>
  <c r="C836" i="37" s="1"/>
  <c r="C846" i="37" s="1"/>
  <c r="C856" i="37" s="1"/>
  <c r="C866" i="37" s="1"/>
  <c r="C876" i="37" s="1"/>
  <c r="C886" i="37" s="1"/>
  <c r="C896" i="37" s="1"/>
  <c r="C906" i="37" s="1"/>
  <c r="C916" i="37" s="1"/>
  <c r="C926" i="37" s="1"/>
  <c r="C936" i="37" s="1"/>
  <c r="C946" i="37" s="1"/>
  <c r="C956" i="37" s="1"/>
  <c r="C966" i="37" s="1"/>
  <c r="C976" i="37" s="1"/>
  <c r="C986" i="37" s="1"/>
  <c r="C996" i="37" s="1"/>
  <c r="C1006" i="37" s="1"/>
  <c r="C1016" i="37" s="1"/>
  <c r="C1026" i="37" s="1"/>
  <c r="C1036" i="37" s="1"/>
  <c r="C1046" i="37" s="1"/>
  <c r="C1056" i="37" s="1"/>
  <c r="C1066" i="37" s="1"/>
  <c r="C1076" i="37" s="1"/>
  <c r="C1086" i="37" s="1"/>
  <c r="C1096" i="37" s="1"/>
  <c r="C1106" i="37" s="1"/>
  <c r="C1116" i="37" s="1"/>
  <c r="C1126" i="37" s="1"/>
  <c r="C1136" i="37" s="1"/>
  <c r="C1146" i="37" s="1"/>
  <c r="C1156" i="37" s="1"/>
  <c r="C1166" i="37" s="1"/>
  <c r="C1176" i="37" s="1"/>
  <c r="C1186" i="37" s="1"/>
  <c r="C1196" i="37" s="1"/>
  <c r="C1206" i="37" s="1"/>
  <c r="C1216" i="37" s="1"/>
  <c r="C1226" i="37" s="1"/>
  <c r="C1236" i="37" s="1"/>
  <c r="V44" i="37"/>
  <c r="W44" i="37"/>
  <c r="X44" i="37"/>
  <c r="Y44" i="37"/>
  <c r="Z44" i="37"/>
  <c r="AA44" i="37"/>
  <c r="AB44" i="37"/>
  <c r="AC44" i="37"/>
  <c r="AD44" i="37"/>
  <c r="AE44" i="37"/>
  <c r="AF44" i="37"/>
  <c r="AG44" i="37"/>
  <c r="D846" i="37"/>
  <c r="AH44" i="37"/>
  <c r="AI44" i="37"/>
  <c r="AJ44" i="37"/>
  <c r="D856" i="37"/>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C757" i="37"/>
  <c r="C767" i="37" s="1"/>
  <c r="D757" i="37"/>
  <c r="D767" i="37" s="1"/>
  <c r="D777" i="37" s="1"/>
  <c r="D787" i="37" s="1"/>
  <c r="D797" i="37" s="1"/>
  <c r="D807" i="37" s="1"/>
  <c r="D817" i="37" s="1"/>
  <c r="G45" i="37"/>
  <c r="H45" i="37"/>
  <c r="I45" i="37"/>
  <c r="J45" i="37"/>
  <c r="K45" i="37"/>
  <c r="L45" i="37"/>
  <c r="C777" i="37"/>
  <c r="C787" i="37" s="1"/>
  <c r="C797" i="37" s="1"/>
  <c r="C807" i="37" s="1"/>
  <c r="C817" i="37" s="1"/>
  <c r="C827" i="37" s="1"/>
  <c r="C837" i="37" s="1"/>
  <c r="C847" i="37" s="1"/>
  <c r="C857" i="37" s="1"/>
  <c r="C867" i="37" s="1"/>
  <c r="C877" i="37" s="1"/>
  <c r="C887" i="37" s="1"/>
  <c r="C897" i="37" s="1"/>
  <c r="C907" i="37" s="1"/>
  <c r="C917" i="37" s="1"/>
  <c r="C927" i="37" s="1"/>
  <c r="C937" i="37" s="1"/>
  <c r="C947" i="37" s="1"/>
  <c r="C957" i="37" s="1"/>
  <c r="C967" i="37" s="1"/>
  <c r="C977" i="37" s="1"/>
  <c r="C987" i="37" s="1"/>
  <c r="C997" i="37" s="1"/>
  <c r="C1007" i="37" s="1"/>
  <c r="C1017" i="37" s="1"/>
  <c r="C1027" i="37" s="1"/>
  <c r="C1037" i="37" s="1"/>
  <c r="C1047" i="37" s="1"/>
  <c r="C1057" i="37" s="1"/>
  <c r="C1067" i="37" s="1"/>
  <c r="C1077" i="37" s="1"/>
  <c r="C1087" i="37" s="1"/>
  <c r="C1097" i="37" s="1"/>
  <c r="C1107" i="37" s="1"/>
  <c r="C1117" i="37" s="1"/>
  <c r="C1127" i="37" s="1"/>
  <c r="C1137" i="37" s="1"/>
  <c r="C1147" i="37" s="1"/>
  <c r="C1157" i="37" s="1"/>
  <c r="C1167" i="37" s="1"/>
  <c r="C1177" i="37" s="1"/>
  <c r="C1187" i="37" s="1"/>
  <c r="C1197" i="37" s="1"/>
  <c r="C1207" i="37" s="1"/>
  <c r="C1217" i="37" s="1"/>
  <c r="C1227" i="37" s="1"/>
  <c r="C1237" i="37" s="1"/>
  <c r="M45" i="37"/>
  <c r="N45" i="37"/>
  <c r="O45" i="37"/>
  <c r="P45" i="37"/>
  <c r="Q45" i="37"/>
  <c r="R45" i="37"/>
  <c r="S45" i="37"/>
  <c r="T45" i="37"/>
  <c r="U45" i="37"/>
  <c r="V45" i="37"/>
  <c r="W45" i="37"/>
  <c r="X45" i="37"/>
  <c r="Y45" i="37"/>
  <c r="Z45" i="37"/>
  <c r="AA45" i="37"/>
  <c r="D827" i="37"/>
  <c r="D837" i="37" s="1"/>
  <c r="AB45" i="37"/>
  <c r="AC45" i="37"/>
  <c r="AD45" i="37"/>
  <c r="AE45" i="37"/>
  <c r="AF45" i="37"/>
  <c r="AG45" i="37"/>
  <c r="D847" i="37"/>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C758" i="37"/>
  <c r="C768" i="37" s="1"/>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46" i="37"/>
  <c r="H46" i="37"/>
  <c r="I46" i="37"/>
  <c r="E768" i="37" s="1"/>
  <c r="J46" i="37"/>
  <c r="K46" i="37"/>
  <c r="L46" i="37"/>
  <c r="C778" i="37"/>
  <c r="C788" i="37" s="1"/>
  <c r="C798" i="37" s="1"/>
  <c r="C808" i="37" s="1"/>
  <c r="C818" i="37" s="1"/>
  <c r="C828" i="37" s="1"/>
  <c r="C838" i="37" s="1"/>
  <c r="C848" i="37" s="1"/>
  <c r="C858" i="37" s="1"/>
  <c r="C868" i="37" s="1"/>
  <c r="C878" i="37" s="1"/>
  <c r="C888" i="37" s="1"/>
  <c r="C898" i="37" s="1"/>
  <c r="C908" i="37" s="1"/>
  <c r="C918" i="37" s="1"/>
  <c r="C928" i="37" s="1"/>
  <c r="C938" i="37" s="1"/>
  <c r="C948" i="37" s="1"/>
  <c r="C958" i="37" s="1"/>
  <c r="C968" i="37" s="1"/>
  <c r="C978" i="37" s="1"/>
  <c r="C988" i="37" s="1"/>
  <c r="C998" i="37" s="1"/>
  <c r="C1008" i="37" s="1"/>
  <c r="C1018" i="37" s="1"/>
  <c r="C1028" i="37" s="1"/>
  <c r="C1038" i="37" s="1"/>
  <c r="C1048" i="37" s="1"/>
  <c r="C1058" i="37" s="1"/>
  <c r="C1068" i="37" s="1"/>
  <c r="C1078" i="37" s="1"/>
  <c r="C1088" i="37" s="1"/>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C1098" i="37"/>
  <c r="C1108" i="37" s="1"/>
  <c r="C1118" i="37" s="1"/>
  <c r="C1128" i="37" s="1"/>
  <c r="C1138" i="37" s="1"/>
  <c r="C1148" i="37" s="1"/>
  <c r="C1158" i="37" s="1"/>
  <c r="C1168" i="37" s="1"/>
  <c r="C1178" i="37" s="1"/>
  <c r="C1188" i="37" s="1"/>
  <c r="C1198" i="37" s="1"/>
  <c r="C1208" i="37" s="1"/>
  <c r="C1218" i="37" s="1"/>
  <c r="C1228" i="37" s="1"/>
  <c r="C1238" i="37" s="1"/>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C759" i="37"/>
  <c r="C769" i="37" s="1"/>
  <c r="C779" i="37" s="1"/>
  <c r="C789" i="37" s="1"/>
  <c r="C799" i="37" s="1"/>
  <c r="C809" i="37" s="1"/>
  <c r="C819" i="37" s="1"/>
  <c r="C829" i="37" s="1"/>
  <c r="C839" i="37" s="1"/>
  <c r="C849" i="37" s="1"/>
  <c r="C859" i="37" s="1"/>
  <c r="C869" i="37" s="1"/>
  <c r="C879" i="37" s="1"/>
  <c r="C889" i="37" s="1"/>
  <c r="C899" i="37" s="1"/>
  <c r="C909" i="37" s="1"/>
  <c r="C919" i="37" s="1"/>
  <c r="C929" i="37" s="1"/>
  <c r="C939" i="37" s="1"/>
  <c r="C949" i="37" s="1"/>
  <c r="C959" i="37" s="1"/>
  <c r="C969" i="37" s="1"/>
  <c r="C979" i="37" s="1"/>
  <c r="C989" i="37" s="1"/>
  <c r="C999" i="37" s="1"/>
  <c r="C1009" i="37" s="1"/>
  <c r="C1019" i="37" s="1"/>
  <c r="C1029" i="37" s="1"/>
  <c r="C1039" i="37" s="1"/>
  <c r="C1049" i="37" s="1"/>
  <c r="C1059" i="37" s="1"/>
  <c r="C1069" i="37" s="1"/>
  <c r="C1079" i="37" s="1"/>
  <c r="C1089" i="37" s="1"/>
  <c r="C1099" i="37" s="1"/>
  <c r="C1109" i="37" s="1"/>
  <c r="C1119" i="37" s="1"/>
  <c r="C1129" i="37" s="1"/>
  <c r="C1139" i="37" s="1"/>
  <c r="C1149" i="37" s="1"/>
  <c r="C1159" i="37" s="1"/>
  <c r="C1169" i="37" s="1"/>
  <c r="C1179" i="37" s="1"/>
  <c r="C1189" i="37" s="1"/>
  <c r="C1199" i="37" s="1"/>
  <c r="C1209" i="37" s="1"/>
  <c r="C1219" i="37" s="1"/>
  <c r="C1229" i="37" s="1"/>
  <c r="C1239" i="37" s="1"/>
  <c r="D759" i="37"/>
  <c r="D769" i="37" s="1"/>
  <c r="D779" i="37" s="1"/>
  <c r="D789" i="37" s="1"/>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G47" i="37"/>
  <c r="H47" i="37"/>
  <c r="I47" i="37"/>
  <c r="J47" i="37"/>
  <c r="K47" i="37"/>
  <c r="L47" i="37"/>
  <c r="M47" i="37"/>
  <c r="N47" i="37"/>
  <c r="O47" i="37"/>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C760" i="37"/>
  <c r="C770" i="37" s="1"/>
  <c r="D760" i="37"/>
  <c r="D770" i="37" s="1"/>
  <c r="G48" i="37"/>
  <c r="H48" i="37"/>
  <c r="I48" i="37"/>
  <c r="J48" i="37"/>
  <c r="K48" i="37"/>
  <c r="L48" i="37"/>
  <c r="C780" i="37"/>
  <c r="C790" i="37" s="1"/>
  <c r="D780" i="37"/>
  <c r="D790" i="37" s="1"/>
  <c r="D800" i="37" s="1"/>
  <c r="D810" i="37" s="1"/>
  <c r="D820" i="37" s="1"/>
  <c r="D830" i="37" s="1"/>
  <c r="D840" i="37" s="1"/>
  <c r="D850" i="37" s="1"/>
  <c r="M48" i="37"/>
  <c r="N48" i="37"/>
  <c r="O48" i="37"/>
  <c r="P48" i="37"/>
  <c r="Q48" i="37"/>
  <c r="R48" i="37"/>
  <c r="C800" i="37"/>
  <c r="C810" i="37" s="1"/>
  <c r="S48" i="37"/>
  <c r="T48" i="37"/>
  <c r="U48" i="37"/>
  <c r="V48" i="37"/>
  <c r="W48" i="37"/>
  <c r="X48" i="37"/>
  <c r="C820" i="37"/>
  <c r="C830" i="37" s="1"/>
  <c r="Y48" i="37"/>
  <c r="Z48" i="37"/>
  <c r="AA48" i="37"/>
  <c r="AB48" i="37"/>
  <c r="AC48" i="37"/>
  <c r="AD48" i="37"/>
  <c r="C840" i="37"/>
  <c r="C850" i="37" s="1"/>
  <c r="C860" i="37" s="1"/>
  <c r="C870" i="37" s="1"/>
  <c r="C880" i="37" s="1"/>
  <c r="C890" i="37" s="1"/>
  <c r="C900" i="37" s="1"/>
  <c r="C910" i="37" s="1"/>
  <c r="C920" i="37" s="1"/>
  <c r="C930" i="37" s="1"/>
  <c r="C940" i="37" s="1"/>
  <c r="C950" i="37" s="1"/>
  <c r="C960" i="37" s="1"/>
  <c r="C970" i="37" s="1"/>
  <c r="C980" i="37" s="1"/>
  <c r="C990" i="37" s="1"/>
  <c r="C1000" i="37" s="1"/>
  <c r="C1010" i="37" s="1"/>
  <c r="C1020" i="37" s="1"/>
  <c r="C1030" i="37" s="1"/>
  <c r="C1040" i="37" s="1"/>
  <c r="C1050" i="37" s="1"/>
  <c r="C1060" i="37" s="1"/>
  <c r="C1070" i="37" s="1"/>
  <c r="C1080" i="37" s="1"/>
  <c r="C1090" i="37" s="1"/>
  <c r="C1100" i="37" s="1"/>
  <c r="C1110" i="37" s="1"/>
  <c r="C1120" i="37" s="1"/>
  <c r="C1130" i="37" s="1"/>
  <c r="C1140" i="37" s="1"/>
  <c r="C1150" i="37" s="1"/>
  <c r="C1160" i="37" s="1"/>
  <c r="C1170" i="37" s="1"/>
  <c r="C1180" i="37" s="1"/>
  <c r="C1190" i="37" s="1"/>
  <c r="C1200" i="37" s="1"/>
  <c r="C1210" i="37" s="1"/>
  <c r="C1220" i="37" s="1"/>
  <c r="C1230" i="37" s="1"/>
  <c r="C1240" i="37" s="1"/>
  <c r="AE48" i="37"/>
  <c r="AF48" i="37"/>
  <c r="AG48" i="37"/>
  <c r="AH48" i="37"/>
  <c r="AI48" i="37"/>
  <c r="AJ48" i="37"/>
  <c r="D860" i="37"/>
  <c r="D870" i="37" s="1"/>
  <c r="D880" i="37" s="1"/>
  <c r="D890" i="37" s="1"/>
  <c r="D900" i="37" s="1"/>
  <c r="D910" i="37" s="1"/>
  <c r="D920" i="37" s="1"/>
  <c r="D930" i="37" s="1"/>
  <c r="D940" i="37" s="1"/>
  <c r="D950" i="37" s="1"/>
  <c r="D960" i="37" s="1"/>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D970" i="37"/>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C761" i="37"/>
  <c r="C771" i="37" s="1"/>
  <c r="C781" i="37" s="1"/>
  <c r="D761" i="37"/>
  <c r="G49" i="37"/>
  <c r="H49" i="37"/>
  <c r="I49" i="37"/>
  <c r="E771" i="37" s="1"/>
  <c r="D771" i="37"/>
  <c r="D781" i="37" s="1"/>
  <c r="J49" i="37"/>
  <c r="K49" i="37"/>
  <c r="L49" i="37"/>
  <c r="M49" i="37"/>
  <c r="N49" i="37"/>
  <c r="O49" i="37"/>
  <c r="C791" i="37"/>
  <c r="C801" i="37" s="1"/>
  <c r="C811" i="37" s="1"/>
  <c r="C821" i="37" s="1"/>
  <c r="C831" i="37" s="1"/>
  <c r="C841" i="37" s="1"/>
  <c r="C851" i="37" s="1"/>
  <c r="C861" i="37" s="1"/>
  <c r="C871" i="37" s="1"/>
  <c r="C881" i="37" s="1"/>
  <c r="C891" i="37" s="1"/>
  <c r="C901" i="37" s="1"/>
  <c r="C911" i="37" s="1"/>
  <c r="C921" i="37" s="1"/>
  <c r="C931" i="37" s="1"/>
  <c r="C941" i="37" s="1"/>
  <c r="D791" i="37"/>
  <c r="D801" i="37" s="1"/>
  <c r="P49" i="37"/>
  <c r="Q49" i="37"/>
  <c r="R49" i="37"/>
  <c r="S49" i="37"/>
  <c r="T49" i="37"/>
  <c r="U49" i="37"/>
  <c r="D811" i="37"/>
  <c r="D821" i="37" s="1"/>
  <c r="D831" i="37" s="1"/>
  <c r="D841" i="37" s="1"/>
  <c r="D851" i="37" s="1"/>
  <c r="D861" i="37" s="1"/>
  <c r="D871" i="37" s="1"/>
  <c r="D881" i="37" s="1"/>
  <c r="D891" i="37" s="1"/>
  <c r="D901" i="37" s="1"/>
  <c r="D911" i="37" s="1"/>
  <c r="D921" i="37" s="1"/>
  <c r="D931" i="37" s="1"/>
  <c r="D941" i="37" s="1"/>
  <c r="D951" i="37" s="1"/>
  <c r="D961" i="37" s="1"/>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C951" i="37"/>
  <c r="C961" i="37" s="1"/>
  <c r="C971" i="37" s="1"/>
  <c r="C981" i="37" s="1"/>
  <c r="C991" i="37" s="1"/>
  <c r="C1001" i="37" s="1"/>
  <c r="C1011" i="37" s="1"/>
  <c r="C1021" i="37" s="1"/>
  <c r="C1031" i="37" s="1"/>
  <c r="C1041" i="37" s="1"/>
  <c r="C1051" i="37" s="1"/>
  <c r="C1061" i="37" s="1"/>
  <c r="C1071" i="37" s="1"/>
  <c r="C1081" i="37" s="1"/>
  <c r="C1091" i="37" s="1"/>
  <c r="C1101" i="37" s="1"/>
  <c r="C1111" i="37" s="1"/>
  <c r="C1121" i="37" s="1"/>
  <c r="C1131" i="37" s="1"/>
  <c r="C1141" i="37" s="1"/>
  <c r="C1151" i="37" s="1"/>
  <c r="C1161" i="37" s="1"/>
  <c r="C1171" i="37" s="1"/>
  <c r="C1181" i="37" s="1"/>
  <c r="C1191" i="37" s="1"/>
  <c r="C1201" i="37" s="1"/>
  <c r="C1211" i="37" s="1"/>
  <c r="C1221" i="37" s="1"/>
  <c r="C1231" i="37" s="1"/>
  <c r="C1241" i="37" s="1"/>
  <c r="BL49" i="37"/>
  <c r="BM49" i="37"/>
  <c r="BN49" i="37"/>
  <c r="BO49" i="37"/>
  <c r="BP49" i="37"/>
  <c r="BQ49" i="37"/>
  <c r="D971" i="37"/>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C762" i="37"/>
  <c r="C772" i="37" s="1"/>
  <c r="C782" i="37" s="1"/>
  <c r="C792" i="37" s="1"/>
  <c r="C802" i="37" s="1"/>
  <c r="C812" i="37" s="1"/>
  <c r="C822" i="37" s="1"/>
  <c r="C832" i="37" s="1"/>
  <c r="C842" i="37" s="1"/>
  <c r="C852" i="37" s="1"/>
  <c r="C862" i="37" s="1"/>
  <c r="C872" i="37" s="1"/>
  <c r="C882" i="37" s="1"/>
  <c r="C892" i="37" s="1"/>
  <c r="C902" i="37" s="1"/>
  <c r="C912" i="37" s="1"/>
  <c r="C922" i="37" s="1"/>
  <c r="C932" i="37" s="1"/>
  <c r="C942" i="37" s="1"/>
  <c r="C952" i="37" s="1"/>
  <c r="C962" i="37" s="1"/>
  <c r="C972" i="37" s="1"/>
  <c r="C982" i="37" s="1"/>
  <c r="C992" i="37" s="1"/>
  <c r="C1002" i="37" s="1"/>
  <c r="C1012" i="37" s="1"/>
  <c r="C1022" i="37" s="1"/>
  <c r="C1032" i="37" s="1"/>
  <c r="C1042" i="37" s="1"/>
  <c r="C1052" i="37" s="1"/>
  <c r="C1062" i="37" s="1"/>
  <c r="C1072" i="37" s="1"/>
  <c r="C1082" i="37" s="1"/>
  <c r="C1092" i="37" s="1"/>
  <c r="C1102" i="37" s="1"/>
  <c r="C1112" i="37" s="1"/>
  <c r="C1122" i="37" s="1"/>
  <c r="C1132" i="37" s="1"/>
  <c r="C1142" i="37" s="1"/>
  <c r="C1152" i="37" s="1"/>
  <c r="C1162" i="37" s="1"/>
  <c r="C1172" i="37" s="1"/>
  <c r="C1182" i="37" s="1"/>
  <c r="C1192" i="37" s="1"/>
  <c r="C1202" i="37" s="1"/>
  <c r="C1212" i="37" s="1"/>
  <c r="C1222" i="37" s="1"/>
  <c r="C1232" i="37" s="1"/>
  <c r="C1242" i="37" s="1"/>
  <c r="D762" i="37"/>
  <c r="G50" i="37"/>
  <c r="H50" i="37"/>
  <c r="I50" i="37"/>
  <c r="D772" i="37"/>
  <c r="D782" i="37" s="1"/>
  <c r="J50" i="37"/>
  <c r="K50" i="37"/>
  <c r="L50" i="37"/>
  <c r="M50" i="37"/>
  <c r="N50" i="37"/>
  <c r="O50" i="37"/>
  <c r="D792" i="37"/>
  <c r="D802" i="37" s="1"/>
  <c r="D812" i="37" s="1"/>
  <c r="D822" i="37" s="1"/>
  <c r="D832" i="37" s="1"/>
  <c r="D842" i="37" s="1"/>
  <c r="D852" i="37" s="1"/>
  <c r="D862" i="37" s="1"/>
  <c r="D872" i="37" s="1"/>
  <c r="D882" i="37" s="1"/>
  <c r="D892" i="37" s="1"/>
  <c r="D902" i="37" s="1"/>
  <c r="D912" i="37" s="1"/>
  <c r="D922" i="37" s="1"/>
  <c r="D932" i="37" s="1"/>
  <c r="D942" i="37" s="1"/>
  <c r="D952" i="37" s="1"/>
  <c r="D962" i="37" s="1"/>
  <c r="D972" i="37" s="1"/>
  <c r="D982" i="37" s="1"/>
  <c r="P50" i="37"/>
  <c r="Q50" i="37"/>
  <c r="R50" i="37"/>
  <c r="S50" i="37"/>
  <c r="T50" i="37"/>
  <c r="U50" i="37"/>
  <c r="V50" i="37"/>
  <c r="W50" i="37"/>
  <c r="X50" i="37"/>
  <c r="Y50" i="37"/>
  <c r="Z50" i="37"/>
  <c r="AA50" i="37"/>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BI50" i="37"/>
  <c r="BJ50" i="37"/>
  <c r="BK50" i="37"/>
  <c r="BL50" i="37"/>
  <c r="BM50" i="37"/>
  <c r="BN50" i="37"/>
  <c r="BO50" i="37"/>
  <c r="BP50" i="37"/>
  <c r="BQ50" i="37"/>
  <c r="BR50" i="37"/>
  <c r="BS50" i="37"/>
  <c r="BT50" i="37"/>
  <c r="BU50" i="37"/>
  <c r="BV50" i="37"/>
  <c r="BW50" i="37"/>
  <c r="D992" i="37"/>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E1244" i="37" s="1"/>
  <c r="D1244" i="37"/>
  <c r="D1245" i="37" s="1"/>
  <c r="D1246" i="37" s="1"/>
  <c r="D1247" i="37" s="1"/>
  <c r="D1248" i="37" s="1"/>
  <c r="D1249" i="37" s="1"/>
  <c r="D1250" i="37" s="1"/>
  <c r="D1251" i="37" s="1"/>
  <c r="D1252" i="37" s="1"/>
  <c r="D1253" i="37" s="1"/>
  <c r="D1254" i="37" s="1"/>
  <c r="D1255" i="37" s="1"/>
  <c r="D1256" i="37" s="1"/>
  <c r="D1257" i="37" s="1"/>
  <c r="D1258" i="37" s="1"/>
  <c r="D1259" i="37" s="1"/>
  <c r="D1260" i="37" s="1"/>
  <c r="D1261" i="37" s="1"/>
  <c r="D1262" i="37" s="1"/>
  <c r="D1263" i="37" s="1"/>
  <c r="D1264" i="37" s="1"/>
  <c r="D1265" i="37" s="1"/>
  <c r="D1266" i="37" s="1"/>
  <c r="D1267" i="37" s="1"/>
  <c r="D1268" i="37" s="1"/>
  <c r="D1269" i="37" s="1"/>
  <c r="D1270" i="37" s="1"/>
  <c r="D1271" i="37" s="1"/>
  <c r="D1272" i="37" s="1"/>
  <c r="D1273" i="37" s="1"/>
  <c r="D1274" i="37" s="1"/>
  <c r="D1275" i="37" s="1"/>
  <c r="D1276" i="37" s="1"/>
  <c r="D1277" i="37" s="1"/>
  <c r="D1278" i="37" s="1"/>
  <c r="D1279" i="37" s="1"/>
  <c r="D1280" i="37" s="1"/>
  <c r="D1281" i="37" s="1"/>
  <c r="D1282" i="37" s="1"/>
  <c r="D1283" i="37" s="1"/>
  <c r="D1284" i="37" s="1"/>
  <c r="D1285" i="37" s="1"/>
  <c r="D1286" i="37" s="1"/>
  <c r="D1287" i="37" s="1"/>
  <c r="D1288" i="37" s="1"/>
  <c r="D1289" i="37" s="1"/>
  <c r="D1290" i="37" s="1"/>
  <c r="D1291" i="37" s="1"/>
  <c r="D1292" i="37" s="1"/>
  <c r="H57" i="37"/>
  <c r="I57" i="37"/>
  <c r="J57" i="37"/>
  <c r="K57" i="37"/>
  <c r="L57" i="37"/>
  <c r="M57" i="37"/>
  <c r="N57" i="37"/>
  <c r="O57" i="37"/>
  <c r="P57" i="37"/>
  <c r="Q57" i="37"/>
  <c r="R57" i="37"/>
  <c r="S57" i="37"/>
  <c r="T57" i="37"/>
  <c r="U57" i="37"/>
  <c r="V57" i="37"/>
  <c r="W57" i="37"/>
  <c r="X57" i="37"/>
  <c r="Y57" i="37"/>
  <c r="Z57" i="37"/>
  <c r="AA57" i="37"/>
  <c r="AB57" i="37"/>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C1303" i="37"/>
  <c r="C1313" i="37" s="1"/>
  <c r="C1323" i="37" s="1"/>
  <c r="C1333" i="37" s="1"/>
  <c r="C1343" i="37" s="1"/>
  <c r="C1353" i="37" s="1"/>
  <c r="C1363" i="37" s="1"/>
  <c r="C1373" i="37" s="1"/>
  <c r="C1383" i="37" s="1"/>
  <c r="C1393" i="37" s="1"/>
  <c r="C1403" i="37" s="1"/>
  <c r="C1413" i="37" s="1"/>
  <c r="C1423" i="37" s="1"/>
  <c r="C1433" i="37" s="1"/>
  <c r="C1443" i="37" s="1"/>
  <c r="C1453" i="37" s="1"/>
  <c r="C1463" i="37" s="1"/>
  <c r="C1473" i="37" s="1"/>
  <c r="C1483" i="37" s="1"/>
  <c r="C1493" i="37" s="1"/>
  <c r="C1503" i="37" s="1"/>
  <c r="C1513" i="37" s="1"/>
  <c r="C1523" i="37" s="1"/>
  <c r="C1533" i="37" s="1"/>
  <c r="C1543" i="37" s="1"/>
  <c r="C1553" i="37" s="1"/>
  <c r="C1563" i="37" s="1"/>
  <c r="C1573" i="37" s="1"/>
  <c r="C1583" i="37" s="1"/>
  <c r="C1593" i="37" s="1"/>
  <c r="C1603" i="37" s="1"/>
  <c r="C1613" i="37" s="1"/>
  <c r="C1623" i="37" s="1"/>
  <c r="C1633" i="37" s="1"/>
  <c r="C1643" i="37" s="1"/>
  <c r="C1653" i="37" s="1"/>
  <c r="C1663" i="37" s="1"/>
  <c r="C1673" i="37" s="1"/>
  <c r="C1683" i="37" s="1"/>
  <c r="C1693" i="37" s="1"/>
  <c r="C1703" i="37" s="1"/>
  <c r="C1713" i="37" s="1"/>
  <c r="C1723" i="37" s="1"/>
  <c r="C1733" i="37" s="1"/>
  <c r="C1743" i="37" s="1"/>
  <c r="C1753" i="37" s="1"/>
  <c r="C1763" i="37" s="1"/>
  <c r="C1773" i="37" s="1"/>
  <c r="C1783" i="37" s="1"/>
  <c r="D1303" i="37"/>
  <c r="D1313" i="37" s="1"/>
  <c r="G60" i="37"/>
  <c r="H60" i="37"/>
  <c r="I60" i="37"/>
  <c r="J60" i="37"/>
  <c r="K60" i="37"/>
  <c r="L60" i="37"/>
  <c r="D1323" i="37"/>
  <c r="M60" i="37"/>
  <c r="N60" i="37"/>
  <c r="O60" i="37"/>
  <c r="D1333" i="37"/>
  <c r="D1343" i="37" s="1"/>
  <c r="D1353" i="37" s="1"/>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P60" i="37"/>
  <c r="Q60" i="37"/>
  <c r="R60" i="37"/>
  <c r="S60" i="37"/>
  <c r="T60" i="37"/>
  <c r="U60" i="37"/>
  <c r="V60" i="37"/>
  <c r="W60" i="37"/>
  <c r="X60" i="37"/>
  <c r="Y60" i="37"/>
  <c r="Z60" i="37"/>
  <c r="AA60" i="37"/>
  <c r="AB60" i="37"/>
  <c r="AC60" i="37"/>
  <c r="AD60" i="37"/>
  <c r="AE60" i="37"/>
  <c r="AF60" i="37"/>
  <c r="AG60" i="37"/>
  <c r="AH60" i="37"/>
  <c r="AI60" i="37"/>
  <c r="AJ60" i="37"/>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C1304" i="37"/>
  <c r="C1314" i="37" s="1"/>
  <c r="C1324" i="37" s="1"/>
  <c r="C1334" i="37" s="1"/>
  <c r="C1344" i="37" s="1"/>
  <c r="C1354" i="37" s="1"/>
  <c r="C1364" i="37" s="1"/>
  <c r="C1374" i="37" s="1"/>
  <c r="C1384" i="37" s="1"/>
  <c r="C1394" i="37" s="1"/>
  <c r="C1404" i="37" s="1"/>
  <c r="C1414" i="37" s="1"/>
  <c r="C1424" i="37" s="1"/>
  <c r="C1434" i="37" s="1"/>
  <c r="C1444" i="37" s="1"/>
  <c r="C1454" i="37" s="1"/>
  <c r="C1464" i="37" s="1"/>
  <c r="C1474" i="37" s="1"/>
  <c r="C1484" i="37" s="1"/>
  <c r="C1494" i="37" s="1"/>
  <c r="C1504" i="37" s="1"/>
  <c r="C1514" i="37" s="1"/>
  <c r="C1524" i="37" s="1"/>
  <c r="C1534" i="37" s="1"/>
  <c r="C1544" i="37" s="1"/>
  <c r="C1554" i="37" s="1"/>
  <c r="C1564" i="37" s="1"/>
  <c r="C1574" i="37" s="1"/>
  <c r="C1584" i="37" s="1"/>
  <c r="C1594" i="37" s="1"/>
  <c r="C1604" i="37" s="1"/>
  <c r="C1614" i="37" s="1"/>
  <c r="C1624" i="37" s="1"/>
  <c r="C1634" i="37" s="1"/>
  <c r="C1644" i="37" s="1"/>
  <c r="C1654" i="37" s="1"/>
  <c r="C1664" i="37" s="1"/>
  <c r="C1674" i="37" s="1"/>
  <c r="C1684" i="37" s="1"/>
  <c r="C1694" i="37" s="1"/>
  <c r="C1704" i="37" s="1"/>
  <c r="C1714" i="37" s="1"/>
  <c r="C1724" i="37" s="1"/>
  <c r="C1734" i="37" s="1"/>
  <c r="C1744" i="37" s="1"/>
  <c r="C1754" i="37" s="1"/>
  <c r="C1764" i="37" s="1"/>
  <c r="C1774" i="37" s="1"/>
  <c r="C1784" i="37" s="1"/>
  <c r="D1304" i="37"/>
  <c r="D1314" i="37" s="1"/>
  <c r="G61" i="37"/>
  <c r="H61" i="37"/>
  <c r="I61" i="37"/>
  <c r="J61" i="37"/>
  <c r="K61" i="37"/>
  <c r="L61" i="37"/>
  <c r="D1324" i="37"/>
  <c r="D1334" i="37" s="1"/>
  <c r="D1344" i="37" s="1"/>
  <c r="D1354" i="37" s="1"/>
  <c r="D1364" i="37" s="1"/>
  <c r="D1374" i="37" s="1"/>
  <c r="M61" i="37"/>
  <c r="N61" i="37"/>
  <c r="O61" i="37"/>
  <c r="P61" i="37"/>
  <c r="Q61" i="37"/>
  <c r="R61" i="37"/>
  <c r="S61" i="37"/>
  <c r="T61" i="37"/>
  <c r="U61" i="37"/>
  <c r="V61" i="37"/>
  <c r="W61" i="37"/>
  <c r="X61" i="37"/>
  <c r="Y61" i="37"/>
  <c r="Z61" i="37"/>
  <c r="AA61" i="37"/>
  <c r="AB61" i="37"/>
  <c r="AC61" i="37"/>
  <c r="AD61" i="37"/>
  <c r="D1384" i="37"/>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AE61" i="37"/>
  <c r="AF61" i="37"/>
  <c r="AG61" i="37"/>
  <c r="AH61" i="37"/>
  <c r="AI61" i="37"/>
  <c r="AJ61" i="37"/>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C1305" i="37"/>
  <c r="C1315" i="37" s="1"/>
  <c r="C1325" i="37" s="1"/>
  <c r="C1335" i="37" s="1"/>
  <c r="C1345" i="37" s="1"/>
  <c r="C1355" i="37" s="1"/>
  <c r="C1365" i="37" s="1"/>
  <c r="C1375" i="37" s="1"/>
  <c r="C1385" i="37" s="1"/>
  <c r="C1395" i="37" s="1"/>
  <c r="C1405" i="37" s="1"/>
  <c r="C1415" i="37" s="1"/>
  <c r="C1425" i="37" s="1"/>
  <c r="C1435" i="37" s="1"/>
  <c r="C1445" i="37" s="1"/>
  <c r="C1455" i="37" s="1"/>
  <c r="C1465" i="37" s="1"/>
  <c r="C1475" i="37" s="1"/>
  <c r="C1485" i="37" s="1"/>
  <c r="C1495" i="37" s="1"/>
  <c r="C1505" i="37" s="1"/>
  <c r="C1515" i="37" s="1"/>
  <c r="C1525" i="37" s="1"/>
  <c r="C1535" i="37" s="1"/>
  <c r="C1545" i="37" s="1"/>
  <c r="C1555" i="37" s="1"/>
  <c r="C1565" i="37" s="1"/>
  <c r="C1575" i="37" s="1"/>
  <c r="C1585" i="37" s="1"/>
  <c r="C1595" i="37" s="1"/>
  <c r="C1605" i="37" s="1"/>
  <c r="C1615" i="37" s="1"/>
  <c r="C1625" i="37" s="1"/>
  <c r="C1635" i="37" s="1"/>
  <c r="C1645" i="37" s="1"/>
  <c r="C1655" i="37" s="1"/>
  <c r="C1665" i="37" s="1"/>
  <c r="C1675" i="37" s="1"/>
  <c r="C1685" i="37" s="1"/>
  <c r="C1695" i="37" s="1"/>
  <c r="C1705" i="37" s="1"/>
  <c r="C1715" i="37" s="1"/>
  <c r="C1725" i="37" s="1"/>
  <c r="C1735" i="37" s="1"/>
  <c r="C1745" i="37" s="1"/>
  <c r="C1755" i="37" s="1"/>
  <c r="C1765" i="37" s="1"/>
  <c r="C1775" i="37" s="1"/>
  <c r="C1785" i="37" s="1"/>
  <c r="D1305" i="37"/>
  <c r="D1315" i="37" s="1"/>
  <c r="G62" i="37"/>
  <c r="H62" i="37"/>
  <c r="I62" i="37"/>
  <c r="J62" i="37"/>
  <c r="K62" i="37"/>
  <c r="L62" i="37"/>
  <c r="D1325" i="37"/>
  <c r="D1335" i="37" s="1"/>
  <c r="D1345" i="37" s="1"/>
  <c r="D1355" i="37" s="1"/>
  <c r="D1365" i="37" s="1"/>
  <c r="D1375" i="37" s="1"/>
  <c r="D1385" i="37" s="1"/>
  <c r="D1395" i="37" s="1"/>
  <c r="D1405" i="37" s="1"/>
  <c r="D1415" i="37" s="1"/>
  <c r="D1425" i="37" s="1"/>
  <c r="D1435" i="37" s="1"/>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AT62" i="37"/>
  <c r="AU62" i="37"/>
  <c r="AV62" i="37"/>
  <c r="AW62" i="37"/>
  <c r="AX62" i="37"/>
  <c r="AY62" i="37"/>
  <c r="AZ62" i="37"/>
  <c r="BA62" i="37"/>
  <c r="BB62" i="37"/>
  <c r="BC62" i="37"/>
  <c r="BD62" i="37"/>
  <c r="BE62" i="37"/>
  <c r="BF62" i="37"/>
  <c r="BG62" i="37"/>
  <c r="BH62" i="37"/>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C1306" i="37"/>
  <c r="C1316" i="37" s="1"/>
  <c r="C1326" i="37" s="1"/>
  <c r="C1336" i="37" s="1"/>
  <c r="C1346" i="37" s="1"/>
  <c r="C1356" i="37" s="1"/>
  <c r="C1366" i="37" s="1"/>
  <c r="C1376" i="37" s="1"/>
  <c r="C1386" i="37" s="1"/>
  <c r="C1396" i="37" s="1"/>
  <c r="C1406" i="37" s="1"/>
  <c r="C1416" i="37" s="1"/>
  <c r="C1426" i="37" s="1"/>
  <c r="C1436" i="37" s="1"/>
  <c r="C1446" i="37" s="1"/>
  <c r="C1456" i="37" s="1"/>
  <c r="C1466" i="37" s="1"/>
  <c r="C1476" i="37" s="1"/>
  <c r="C1486" i="37" s="1"/>
  <c r="C1496" i="37" s="1"/>
  <c r="C1506" i="37" s="1"/>
  <c r="C1516" i="37" s="1"/>
  <c r="C1526" i="37" s="1"/>
  <c r="C1536" i="37" s="1"/>
  <c r="C1546" i="37" s="1"/>
  <c r="C1556" i="37" s="1"/>
  <c r="C1566" i="37" s="1"/>
  <c r="C1576" i="37" s="1"/>
  <c r="C1586" i="37" s="1"/>
  <c r="C1596" i="37" s="1"/>
  <c r="C1606" i="37" s="1"/>
  <c r="C1616" i="37" s="1"/>
  <c r="C1626" i="37" s="1"/>
  <c r="C1636" i="37" s="1"/>
  <c r="C1646" i="37" s="1"/>
  <c r="C1656" i="37" s="1"/>
  <c r="C1666" i="37" s="1"/>
  <c r="C1676" i="37" s="1"/>
  <c r="C1686" i="37" s="1"/>
  <c r="C1696" i="37" s="1"/>
  <c r="C1706" i="37" s="1"/>
  <c r="C1716" i="37" s="1"/>
  <c r="C1726" i="37" s="1"/>
  <c r="C1736" i="37" s="1"/>
  <c r="C1746" i="37" s="1"/>
  <c r="C1756" i="37" s="1"/>
  <c r="C1766" i="37" s="1"/>
  <c r="C1776" i="37" s="1"/>
  <c r="C1786" i="37" s="1"/>
  <c r="D1306" i="37"/>
  <c r="D1316" i="37" s="1"/>
  <c r="G63" i="37"/>
  <c r="H63" i="37"/>
  <c r="I63" i="37"/>
  <c r="E1316" i="37" s="1"/>
  <c r="J63" i="37"/>
  <c r="K63" i="37"/>
  <c r="L63" i="37"/>
  <c r="D1326" i="37"/>
  <c r="D1336" i="37" s="1"/>
  <c r="D1346" i="37" s="1"/>
  <c r="D1356" i="37" s="1"/>
  <c r="D1366" i="37" s="1"/>
  <c r="D1376" i="37" s="1"/>
  <c r="M63" i="37"/>
  <c r="N63" i="37"/>
  <c r="O63" i="37"/>
  <c r="P63" i="37"/>
  <c r="Q63" i="37"/>
  <c r="R63" i="37"/>
  <c r="S63" i="37"/>
  <c r="T63" i="37"/>
  <c r="U63" i="37"/>
  <c r="V63" i="37"/>
  <c r="W63" i="37"/>
  <c r="X63" i="37"/>
  <c r="Y63" i="37"/>
  <c r="Z63" i="37"/>
  <c r="AA63" i="37"/>
  <c r="AB63" i="37"/>
  <c r="AC63" i="37"/>
  <c r="AD63" i="37"/>
  <c r="D1386" i="37"/>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C1307" i="37"/>
  <c r="C1317" i="37" s="1"/>
  <c r="C1327" i="37" s="1"/>
  <c r="C1337" i="37" s="1"/>
  <c r="C1347" i="37" s="1"/>
  <c r="C1357" i="37" s="1"/>
  <c r="C1367" i="37" s="1"/>
  <c r="C1377" i="37" s="1"/>
  <c r="C1387" i="37" s="1"/>
  <c r="C1397" i="37" s="1"/>
  <c r="C1407" i="37" s="1"/>
  <c r="C1417" i="37" s="1"/>
  <c r="C1427" i="37" s="1"/>
  <c r="C1437" i="37" s="1"/>
  <c r="C1447" i="37" s="1"/>
  <c r="C1457" i="37" s="1"/>
  <c r="C1467" i="37" s="1"/>
  <c r="C1477" i="37" s="1"/>
  <c r="C1487" i="37" s="1"/>
  <c r="C1497" i="37" s="1"/>
  <c r="C1507" i="37" s="1"/>
  <c r="C1517" i="37" s="1"/>
  <c r="C1527" i="37" s="1"/>
  <c r="C1537" i="37" s="1"/>
  <c r="C1547" i="37" s="1"/>
  <c r="C1557" i="37" s="1"/>
  <c r="C1567" i="37" s="1"/>
  <c r="C1577" i="37" s="1"/>
  <c r="C1587" i="37" s="1"/>
  <c r="C1597" i="37" s="1"/>
  <c r="C1607" i="37" s="1"/>
  <c r="C1617" i="37" s="1"/>
  <c r="C1627" i="37" s="1"/>
  <c r="C1637" i="37" s="1"/>
  <c r="C1647" i="37" s="1"/>
  <c r="C1657" i="37" s="1"/>
  <c r="C1667" i="37" s="1"/>
  <c r="C1677" i="37" s="1"/>
  <c r="C1687" i="37" s="1"/>
  <c r="C1697" i="37" s="1"/>
  <c r="C1707" i="37" s="1"/>
  <c r="C1717" i="37" s="1"/>
  <c r="C1727" i="37" s="1"/>
  <c r="C1737" i="37" s="1"/>
  <c r="C1747" i="37" s="1"/>
  <c r="C1757" i="37" s="1"/>
  <c r="C1767" i="37" s="1"/>
  <c r="C1777" i="37" s="1"/>
  <c r="C1787" i="37" s="1"/>
  <c r="D1307" i="37"/>
  <c r="D1317" i="37" s="1"/>
  <c r="G64" i="37"/>
  <c r="H64" i="37"/>
  <c r="I64" i="37"/>
  <c r="J64" i="37"/>
  <c r="K64" i="37"/>
  <c r="L64" i="37"/>
  <c r="D1327" i="37"/>
  <c r="M64" i="37"/>
  <c r="N64" i="37"/>
  <c r="O64" i="37"/>
  <c r="D1337" i="37"/>
  <c r="D1347" i="37" s="1"/>
  <c r="D1357" i="37" s="1"/>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P64" i="37"/>
  <c r="Q64" i="37"/>
  <c r="R64" i="37"/>
  <c r="S64" i="37"/>
  <c r="T64" i="37"/>
  <c r="U64" i="37"/>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C1308" i="37"/>
  <c r="C1318" i="37" s="1"/>
  <c r="C1328" i="37" s="1"/>
  <c r="C1338" i="37" s="1"/>
  <c r="C1348" i="37" s="1"/>
  <c r="C1358" i="37" s="1"/>
  <c r="C1368" i="37" s="1"/>
  <c r="D1308" i="37"/>
  <c r="D1318" i="37" s="1"/>
  <c r="D1328" i="37" s="1"/>
  <c r="D1338" i="37" s="1"/>
  <c r="D1348" i="37" s="1"/>
  <c r="D1358" i="37" s="1"/>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D1778" i="37" s="1"/>
  <c r="D1788" i="37" s="1"/>
  <c r="G65" i="37"/>
  <c r="H65" i="37"/>
  <c r="I65" i="37"/>
  <c r="J65" i="37"/>
  <c r="K65" i="37"/>
  <c r="L65" i="37"/>
  <c r="M65" i="37"/>
  <c r="N65" i="37"/>
  <c r="O65" i="37"/>
  <c r="P65" i="37"/>
  <c r="Q65" i="37"/>
  <c r="R65" i="37"/>
  <c r="S65" i="37"/>
  <c r="T65" i="37"/>
  <c r="U65" i="37"/>
  <c r="V65" i="37"/>
  <c r="W65" i="37"/>
  <c r="X65" i="37"/>
  <c r="Y65" i="37"/>
  <c r="Z65" i="37"/>
  <c r="AA65" i="37"/>
  <c r="C1378" i="37"/>
  <c r="C1388" i="37" s="1"/>
  <c r="C1398" i="37" s="1"/>
  <c r="C1408" i="37" s="1"/>
  <c r="C1418" i="37" s="1"/>
  <c r="C1428" i="37" s="1"/>
  <c r="C1438" i="37" s="1"/>
  <c r="C1448" i="37" s="1"/>
  <c r="C1458" i="37" s="1"/>
  <c r="C1468" i="37" s="1"/>
  <c r="C1478" i="37" s="1"/>
  <c r="C1488" i="37" s="1"/>
  <c r="C1498" i="37" s="1"/>
  <c r="C1508" i="37" s="1"/>
  <c r="C1518" i="37" s="1"/>
  <c r="C1528" i="37" s="1"/>
  <c r="C1538" i="37" s="1"/>
  <c r="C1548" i="37" s="1"/>
  <c r="C1558" i="37" s="1"/>
  <c r="C1568" i="37" s="1"/>
  <c r="C1578" i="37" s="1"/>
  <c r="C1588" i="37" s="1"/>
  <c r="C1598" i="37" s="1"/>
  <c r="C1608" i="37" s="1"/>
  <c r="C1618" i="37" s="1"/>
  <c r="C1628" i="37" s="1"/>
  <c r="C1638" i="37" s="1"/>
  <c r="C1648" i="37" s="1"/>
  <c r="C1658" i="37" s="1"/>
  <c r="C1668" i="37" s="1"/>
  <c r="C1678" i="37" s="1"/>
  <c r="C1688" i="37" s="1"/>
  <c r="C1698" i="37" s="1"/>
  <c r="C1708" i="37" s="1"/>
  <c r="C1718" i="37" s="1"/>
  <c r="C1728" i="37" s="1"/>
  <c r="C1738" i="37" s="1"/>
  <c r="C1748" i="37" s="1"/>
  <c r="C1758" i="37" s="1"/>
  <c r="C1768" i="37" s="1"/>
  <c r="C1778" i="37" s="1"/>
  <c r="C1788" i="37" s="1"/>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ER65" i="37"/>
  <c r="ES65" i="37"/>
  <c r="ET65" i="37"/>
  <c r="EU65" i="37"/>
  <c r="B66" i="37"/>
  <c r="C66" i="37"/>
  <c r="E1299" i="37" s="1"/>
  <c r="D66" i="37"/>
  <c r="E66" i="37"/>
  <c r="F66" i="37"/>
  <c r="C1309" i="37"/>
  <c r="C1319" i="37" s="1"/>
  <c r="C1329" i="37" s="1"/>
  <c r="C1339" i="37" s="1"/>
  <c r="C1349" i="37" s="1"/>
  <c r="C1359" i="37" s="1"/>
  <c r="C1369" i="37" s="1"/>
  <c r="C1379" i="37" s="1"/>
  <c r="C1389" i="37" s="1"/>
  <c r="C1399" i="37" s="1"/>
  <c r="C1409" i="37" s="1"/>
  <c r="C1419" i="37" s="1"/>
  <c r="C1429" i="37" s="1"/>
  <c r="C1439" i="37" s="1"/>
  <c r="C1449" i="37" s="1"/>
  <c r="C1459" i="37" s="1"/>
  <c r="C1469" i="37" s="1"/>
  <c r="C1479" i="37" s="1"/>
  <c r="C1489" i="37" s="1"/>
  <c r="C1499" i="37" s="1"/>
  <c r="C1509" i="37" s="1"/>
  <c r="C1519" i="37" s="1"/>
  <c r="C1529" i="37" s="1"/>
  <c r="C1539" i="37" s="1"/>
  <c r="C1549" i="37" s="1"/>
  <c r="C1559" i="37" s="1"/>
  <c r="C1569" i="37" s="1"/>
  <c r="C1579" i="37" s="1"/>
  <c r="C1589" i="37" s="1"/>
  <c r="C1599" i="37" s="1"/>
  <c r="C1609" i="37" s="1"/>
  <c r="C1619" i="37" s="1"/>
  <c r="C1629" i="37" s="1"/>
  <c r="C1639" i="37" s="1"/>
  <c r="C1649" i="37" s="1"/>
  <c r="C1659" i="37" s="1"/>
  <c r="C1669" i="37" s="1"/>
  <c r="C1679" i="37" s="1"/>
  <c r="C1689" i="37" s="1"/>
  <c r="C1699" i="37" s="1"/>
  <c r="C1709" i="37" s="1"/>
  <c r="C1719" i="37" s="1"/>
  <c r="C1729" i="37" s="1"/>
  <c r="C1739" i="37" s="1"/>
  <c r="C1749" i="37" s="1"/>
  <c r="C1759" i="37" s="1"/>
  <c r="C1769" i="37" s="1"/>
  <c r="C1779" i="37" s="1"/>
  <c r="C1789" i="37" s="1"/>
  <c r="D1309" i="37"/>
  <c r="D1319" i="37" s="1"/>
  <c r="D1329" i="37" s="1"/>
  <c r="D1339" i="37" s="1"/>
  <c r="D1349" i="37" s="1"/>
  <c r="D1359" i="37" s="1"/>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G66" i="37"/>
  <c r="H66" i="37"/>
  <c r="I66" i="37"/>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C1310" i="37"/>
  <c r="C1320" i="37" s="1"/>
  <c r="C1330" i="37" s="1"/>
  <c r="C1340" i="37" s="1"/>
  <c r="C1350" i="37" s="1"/>
  <c r="C1360" i="37" s="1"/>
  <c r="C1370" i="37" s="1"/>
  <c r="C1380" i="37" s="1"/>
  <c r="C1390" i="37" s="1"/>
  <c r="C1400" i="37" s="1"/>
  <c r="C1410" i="37" s="1"/>
  <c r="C1420" i="37" s="1"/>
  <c r="C1430" i="37" s="1"/>
  <c r="C1440" i="37" s="1"/>
  <c r="C1450" i="37" s="1"/>
  <c r="C1460" i="37" s="1"/>
  <c r="C1470" i="37" s="1"/>
  <c r="C1480" i="37" s="1"/>
  <c r="C1490" i="37" s="1"/>
  <c r="C1500" i="37" s="1"/>
  <c r="C1510" i="37" s="1"/>
  <c r="C1520" i="37" s="1"/>
  <c r="C1530" i="37" s="1"/>
  <c r="C1540" i="37" s="1"/>
  <c r="C1550" i="37" s="1"/>
  <c r="C1560" i="37" s="1"/>
  <c r="C1570" i="37" s="1"/>
  <c r="C1580" i="37" s="1"/>
  <c r="C1590" i="37" s="1"/>
  <c r="C1600" i="37" s="1"/>
  <c r="C1610" i="37" s="1"/>
  <c r="C1620" i="37" s="1"/>
  <c r="C1630" i="37" s="1"/>
  <c r="C1640" i="37" s="1"/>
  <c r="C1650" i="37" s="1"/>
  <c r="C1660" i="37" s="1"/>
  <c r="C1670" i="37" s="1"/>
  <c r="C1680" i="37" s="1"/>
  <c r="C1690" i="37" s="1"/>
  <c r="C1700" i="37" s="1"/>
  <c r="C1710" i="37" s="1"/>
  <c r="C1720" i="37" s="1"/>
  <c r="C1730" i="37" s="1"/>
  <c r="C1740" i="37" s="1"/>
  <c r="C1750" i="37" s="1"/>
  <c r="C1760" i="37" s="1"/>
  <c r="C1770" i="37" s="1"/>
  <c r="C1780" i="37" s="1"/>
  <c r="C1790" i="37" s="1"/>
  <c r="D1310" i="37"/>
  <c r="D1320" i="37" s="1"/>
  <c r="D1330" i="37" s="1"/>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G67" i="37"/>
  <c r="H67" i="37"/>
  <c r="I67" i="37"/>
  <c r="J67" i="37"/>
  <c r="K67" i="37"/>
  <c r="L67" i="37"/>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E1311" i="37" s="1"/>
  <c r="C1311" i="37"/>
  <c r="C1321" i="37" s="1"/>
  <c r="C1331" i="37" s="1"/>
  <c r="C1341" i="37" s="1"/>
  <c r="C1351" i="37" s="1"/>
  <c r="C1361" i="37" s="1"/>
  <c r="C1371" i="37" s="1"/>
  <c r="C1381" i="37" s="1"/>
  <c r="C1391" i="37" s="1"/>
  <c r="C1401" i="37" s="1"/>
  <c r="C1411" i="37" s="1"/>
  <c r="C1421" i="37" s="1"/>
  <c r="C1431" i="37" s="1"/>
  <c r="C1441" i="37" s="1"/>
  <c r="C1451" i="37" s="1"/>
  <c r="C1461" i="37" s="1"/>
  <c r="C1471" i="37" s="1"/>
  <c r="C1481" i="37" s="1"/>
  <c r="C1491" i="37" s="1"/>
  <c r="C1501" i="37" s="1"/>
  <c r="C1511" i="37" s="1"/>
  <c r="C1521" i="37" s="1"/>
  <c r="C1531" i="37" s="1"/>
  <c r="C1541" i="37" s="1"/>
  <c r="C1551" i="37" s="1"/>
  <c r="C1561" i="37" s="1"/>
  <c r="C1571" i="37" s="1"/>
  <c r="C1581" i="37" s="1"/>
  <c r="C1591" i="37" s="1"/>
  <c r="C1601" i="37" s="1"/>
  <c r="C1611" i="37" s="1"/>
  <c r="C1621" i="37" s="1"/>
  <c r="C1631" i="37" s="1"/>
  <c r="C1641" i="37" s="1"/>
  <c r="C1651" i="37" s="1"/>
  <c r="C1661" i="37" s="1"/>
  <c r="C1671" i="37" s="1"/>
  <c r="C1681" i="37" s="1"/>
  <c r="C1691" i="37" s="1"/>
  <c r="C1701" i="37" s="1"/>
  <c r="C1711" i="37" s="1"/>
  <c r="C1721" i="37" s="1"/>
  <c r="C1731" i="37" s="1"/>
  <c r="C1741" i="37" s="1"/>
  <c r="C1751" i="37" s="1"/>
  <c r="C1761" i="37" s="1"/>
  <c r="C1771" i="37" s="1"/>
  <c r="C1781" i="37" s="1"/>
  <c r="C1791" i="37" s="1"/>
  <c r="D1311" i="37"/>
  <c r="G68" i="37"/>
  <c r="H68" i="37"/>
  <c r="I68" i="37"/>
  <c r="D1321" i="37"/>
  <c r="J68" i="37"/>
  <c r="K68" i="37"/>
  <c r="L68" i="37"/>
  <c r="D1331" i="37"/>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C1312" i="37"/>
  <c r="C1322" i="37" s="1"/>
  <c r="C1332" i="37" s="1"/>
  <c r="C1342" i="37" s="1"/>
  <c r="C1352" i="37" s="1"/>
  <c r="C1362" i="37" s="1"/>
  <c r="C1372" i="37" s="1"/>
  <c r="C1382" i="37" s="1"/>
  <c r="D1312" i="37"/>
  <c r="D1322" i="37" s="1"/>
  <c r="D1332" i="37" s="1"/>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G69" i="37"/>
  <c r="H69" i="37"/>
  <c r="I69" i="37"/>
  <c r="J69" i="37"/>
  <c r="K69" i="37"/>
  <c r="L69" i="37"/>
  <c r="M69" i="37"/>
  <c r="N69" i="37"/>
  <c r="O69" i="37"/>
  <c r="P69" i="37"/>
  <c r="Q69" i="37"/>
  <c r="R69" i="37"/>
  <c r="S69" i="37"/>
  <c r="T69" i="37"/>
  <c r="U69" i="37"/>
  <c r="V69" i="37"/>
  <c r="W69" i="37"/>
  <c r="X69" i="37"/>
  <c r="Y69" i="37"/>
  <c r="Z69" i="37"/>
  <c r="AA69" i="37"/>
  <c r="AB69" i="37"/>
  <c r="AC69" i="37"/>
  <c r="AD69" i="37"/>
  <c r="C1392" i="37"/>
  <c r="C1402" i="37" s="1"/>
  <c r="C1412" i="37" s="1"/>
  <c r="C1422" i="37" s="1"/>
  <c r="C1432" i="37" s="1"/>
  <c r="C1442" i="37" s="1"/>
  <c r="C1452" i="37" s="1"/>
  <c r="C1462" i="37" s="1"/>
  <c r="C1472" i="37" s="1"/>
  <c r="C1482" i="37" s="1"/>
  <c r="C1492" i="37" s="1"/>
  <c r="C1502" i="37" s="1"/>
  <c r="C1512" i="37" s="1"/>
  <c r="C1522" i="37" s="1"/>
  <c r="C1532" i="37" s="1"/>
  <c r="C1542" i="37" s="1"/>
  <c r="C1552" i="37" s="1"/>
  <c r="C1562" i="37" s="1"/>
  <c r="C1572" i="37" s="1"/>
  <c r="C1582" i="37" s="1"/>
  <c r="C1592" i="37" s="1"/>
  <c r="C1602" i="37" s="1"/>
  <c r="C1612" i="37" s="1"/>
  <c r="C1622" i="37" s="1"/>
  <c r="C1632" i="37" s="1"/>
  <c r="C1642" i="37" s="1"/>
  <c r="C1652" i="37" s="1"/>
  <c r="C1662" i="37" s="1"/>
  <c r="C1672" i="37" s="1"/>
  <c r="C1682" i="37" s="1"/>
  <c r="C1692" i="37" s="1"/>
  <c r="C1702" i="37" s="1"/>
  <c r="C1712" i="37" s="1"/>
  <c r="C1722" i="37" s="1"/>
  <c r="C1732" i="37" s="1"/>
  <c r="C1742" i="37" s="1"/>
  <c r="C1752" i="37" s="1"/>
  <c r="C1762" i="37" s="1"/>
  <c r="C1772" i="37" s="1"/>
  <c r="C1782" i="37" s="1"/>
  <c r="C1792" i="37" s="1"/>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D1794" i="37"/>
  <c r="D1795" i="37" s="1"/>
  <c r="D1796" i="37" s="1"/>
  <c r="K76" i="37"/>
  <c r="L76" i="37"/>
  <c r="M76" i="37"/>
  <c r="N76" i="37"/>
  <c r="O76" i="37"/>
  <c r="P76" i="37"/>
  <c r="Q76" i="37"/>
  <c r="R76" i="37"/>
  <c r="S76" i="37"/>
  <c r="T76" i="37"/>
  <c r="U76" i="37"/>
  <c r="V76" i="37"/>
  <c r="W76" i="37"/>
  <c r="X76" i="37"/>
  <c r="Y76" i="37"/>
  <c r="D1797" i="37"/>
  <c r="D1798" i="37" s="1"/>
  <c r="D1799" i="37" s="1"/>
  <c r="D1800" i="37" s="1"/>
  <c r="D1801" i="37" s="1"/>
  <c r="D1802" i="37" s="1"/>
  <c r="D1803" i="37" s="1"/>
  <c r="D1804" i="37" s="1"/>
  <c r="D1805" i="37" s="1"/>
  <c r="D1806" i="37" s="1"/>
  <c r="D1807" i="37" s="1"/>
  <c r="D1808" i="37" s="1"/>
  <c r="D1809" i="37" s="1"/>
  <c r="D1810" i="37" s="1"/>
  <c r="D1811" i="37" s="1"/>
  <c r="D1812" i="37" s="1"/>
  <c r="D1813" i="37" s="1"/>
  <c r="D1814" i="37" s="1"/>
  <c r="D1815" i="37" s="1"/>
  <c r="D1816" i="37" s="1"/>
  <c r="D1817" i="37" s="1"/>
  <c r="D1818" i="37" s="1"/>
  <c r="D1819" i="37" s="1"/>
  <c r="D1820" i="37" s="1"/>
  <c r="D1821" i="37" s="1"/>
  <c r="D1822" i="37" s="1"/>
  <c r="D1823" i="37" s="1"/>
  <c r="D1824" i="37" s="1"/>
  <c r="D1825" i="37" s="1"/>
  <c r="D1826" i="37" s="1"/>
  <c r="D1827" i="37" s="1"/>
  <c r="D1828" i="37" s="1"/>
  <c r="D1829" i="37" s="1"/>
  <c r="D1830" i="37" s="1"/>
  <c r="D1831" i="37" s="1"/>
  <c r="D1832" i="37" s="1"/>
  <c r="D1833" i="37" s="1"/>
  <c r="D1834" i="37" s="1"/>
  <c r="D1835" i="37" s="1"/>
  <c r="D1836" i="37" s="1"/>
  <c r="D1837" i="37" s="1"/>
  <c r="D1838" i="37" s="1"/>
  <c r="D1839" i="37" s="1"/>
  <c r="D1840" i="37" s="1"/>
  <c r="D1841" i="37" s="1"/>
  <c r="D1842" i="37" s="1"/>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C1853" i="37"/>
  <c r="C1863" i="37" s="1"/>
  <c r="C1873" i="37" s="1"/>
  <c r="C1883" i="37" s="1"/>
  <c r="C1893" i="37" s="1"/>
  <c r="C1903" i="37" s="1"/>
  <c r="C1913" i="37" s="1"/>
  <c r="C1923" i="37" s="1"/>
  <c r="C1933" i="37" s="1"/>
  <c r="C1943" i="37" s="1"/>
  <c r="C1953" i="37" s="1"/>
  <c r="C1963" i="37" s="1"/>
  <c r="C1973" i="37" s="1"/>
  <c r="C1983" i="37" s="1"/>
  <c r="C1993" i="37" s="1"/>
  <c r="C2003" i="37" s="1"/>
  <c r="C2013" i="37" s="1"/>
  <c r="C2023" i="37" s="1"/>
  <c r="C2033" i="37" s="1"/>
  <c r="C2043" i="37" s="1"/>
  <c r="C2053" i="37" s="1"/>
  <c r="C2063" i="37" s="1"/>
  <c r="C2073" i="37" s="1"/>
  <c r="C2083" i="37" s="1"/>
  <c r="C2093" i="37" s="1"/>
  <c r="C2103" i="37" s="1"/>
  <c r="C2113" i="37" s="1"/>
  <c r="C2123" i="37" s="1"/>
  <c r="C2133" i="37" s="1"/>
  <c r="C2143" i="37" s="1"/>
  <c r="C2153" i="37" s="1"/>
  <c r="C2163" i="37" s="1"/>
  <c r="C2173" i="37" s="1"/>
  <c r="C2183" i="37" s="1"/>
  <c r="C2193" i="37" s="1"/>
  <c r="C2203" i="37" s="1"/>
  <c r="C2213" i="37" s="1"/>
  <c r="C2223" i="37" s="1"/>
  <c r="C2233" i="37" s="1"/>
  <c r="C2243" i="37" s="1"/>
  <c r="C2253" i="37" s="1"/>
  <c r="C2263" i="37" s="1"/>
  <c r="C2273" i="37" s="1"/>
  <c r="C2283" i="37" s="1"/>
  <c r="C2293" i="37" s="1"/>
  <c r="C2303" i="37" s="1"/>
  <c r="C2313" i="37" s="1"/>
  <c r="D1853" i="37"/>
  <c r="D1863" i="37" s="1"/>
  <c r="D1873" i="37" s="1"/>
  <c r="D1883" i="37" s="1"/>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I80" i="37"/>
  <c r="J80" i="37"/>
  <c r="K80" i="37"/>
  <c r="L80" i="37"/>
  <c r="M80" i="37"/>
  <c r="N80" i="37"/>
  <c r="O80" i="37"/>
  <c r="P80" i="37"/>
  <c r="Q80" i="37"/>
  <c r="R80" i="37"/>
  <c r="S80" i="37"/>
  <c r="T80" i="37"/>
  <c r="U80" i="37"/>
  <c r="V80" i="37"/>
  <c r="W80" i="37"/>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C2323" i="37"/>
  <c r="C2333" i="37" s="1"/>
  <c r="IJ80" i="37"/>
  <c r="IK80" i="37"/>
  <c r="IL80" i="37"/>
  <c r="IM80" i="37"/>
  <c r="IN80" i="37"/>
  <c r="IO80" i="37"/>
  <c r="IP80" i="37"/>
  <c r="IQ80" i="37"/>
  <c r="B81" i="37"/>
  <c r="C81" i="37"/>
  <c r="E1844" i="37" s="1"/>
  <c r="D81" i="37"/>
  <c r="E81" i="37"/>
  <c r="F81" i="37"/>
  <c r="G81" i="37"/>
  <c r="H81" i="37"/>
  <c r="C1854" i="37"/>
  <c r="C1864" i="37" s="1"/>
  <c r="C1874" i="37" s="1"/>
  <c r="C1884" i="37" s="1"/>
  <c r="C1894" i="37" s="1"/>
  <c r="C1904" i="37" s="1"/>
  <c r="C1914" i="37" s="1"/>
  <c r="C1924" i="37" s="1"/>
  <c r="C1934" i="37" s="1"/>
  <c r="C1944" i="37" s="1"/>
  <c r="C1954" i="37" s="1"/>
  <c r="C1964" i="37" s="1"/>
  <c r="C1974" i="37" s="1"/>
  <c r="C1984" i="37" s="1"/>
  <c r="C1994" i="37" s="1"/>
  <c r="C2004" i="37" s="1"/>
  <c r="C2014" i="37" s="1"/>
  <c r="C2024" i="37" s="1"/>
  <c r="C2034" i="37" s="1"/>
  <c r="C2044" i="37" s="1"/>
  <c r="C2054" i="37" s="1"/>
  <c r="C2064" i="37" s="1"/>
  <c r="C2074" i="37" s="1"/>
  <c r="C2084" i="37" s="1"/>
  <c r="C2094" i="37" s="1"/>
  <c r="C2104" i="37" s="1"/>
  <c r="C2114" i="37" s="1"/>
  <c r="C2124" i="37" s="1"/>
  <c r="C2134" i="37" s="1"/>
  <c r="C2144" i="37" s="1"/>
  <c r="C2154" i="37" s="1"/>
  <c r="C2164" i="37" s="1"/>
  <c r="C2174" i="37" s="1"/>
  <c r="C2184" i="37" s="1"/>
  <c r="C2194" i="37" s="1"/>
  <c r="C2204" i="37" s="1"/>
  <c r="C2214" i="37" s="1"/>
  <c r="C2224" i="37" s="1"/>
  <c r="C2234" i="37" s="1"/>
  <c r="C2244" i="37" s="1"/>
  <c r="C2254" i="37" s="1"/>
  <c r="C2264" i="37" s="1"/>
  <c r="C2274" i="37" s="1"/>
  <c r="C2284" i="37" s="1"/>
  <c r="C2294" i="37" s="1"/>
  <c r="C2304" i="37" s="1"/>
  <c r="C2314" i="37" s="1"/>
  <c r="C2324" i="37" s="1"/>
  <c r="C2334" i="37" s="1"/>
  <c r="D1854" i="37"/>
  <c r="I81" i="37"/>
  <c r="J81" i="37"/>
  <c r="K81" i="37"/>
  <c r="L81" i="37"/>
  <c r="M81" i="37"/>
  <c r="D1864" i="37"/>
  <c r="D1874" i="37" s="1"/>
  <c r="D1884" i="37" s="1"/>
  <c r="D1894" i="37" s="1"/>
  <c r="D1904" i="37" s="1"/>
  <c r="D1914" i="37" s="1"/>
  <c r="D1924" i="37" s="1"/>
  <c r="D1934" i="37" s="1"/>
  <c r="D1944" i="37" s="1"/>
  <c r="D1954" i="37" s="1"/>
  <c r="D1964" i="37" s="1"/>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N81" i="37"/>
  <c r="O81" i="37"/>
  <c r="P81" i="37"/>
  <c r="Q81" i="37"/>
  <c r="R81" i="37"/>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E1855" i="37" s="1"/>
  <c r="C1855" i="37"/>
  <c r="D1855" i="37"/>
  <c r="D1865" i="37" s="1"/>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I82" i="37"/>
  <c r="J82" i="37"/>
  <c r="K82" i="37"/>
  <c r="L82" i="37"/>
  <c r="M82" i="37"/>
  <c r="C1865" i="37"/>
  <c r="C1875" i="37" s="1"/>
  <c r="C1885" i="37" s="1"/>
  <c r="C1895" i="37" s="1"/>
  <c r="C1905" i="37" s="1"/>
  <c r="C1915" i="37" s="1"/>
  <c r="C1925" i="37" s="1"/>
  <c r="C1935" i="37" s="1"/>
  <c r="C1945" i="37" s="1"/>
  <c r="C1955" i="37" s="1"/>
  <c r="C1965" i="37" s="1"/>
  <c r="C1975" i="37" s="1"/>
  <c r="C1985" i="37" s="1"/>
  <c r="C1995" i="37" s="1"/>
  <c r="C2005" i="37" s="1"/>
  <c r="C2015" i="37" s="1"/>
  <c r="C2025" i="37" s="1"/>
  <c r="C2035" i="37" s="1"/>
  <c r="C2045" i="37" s="1"/>
  <c r="C2055" i="37" s="1"/>
  <c r="C2065" i="37" s="1"/>
  <c r="C2075" i="37" s="1"/>
  <c r="C2085" i="37" s="1"/>
  <c r="C2095" i="37" s="1"/>
  <c r="C2105" i="37" s="1"/>
  <c r="C2115" i="37" s="1"/>
  <c r="C2125" i="37" s="1"/>
  <c r="C2135" i="37" s="1"/>
  <c r="C2145" i="37" s="1"/>
  <c r="C2155" i="37" s="1"/>
  <c r="C2165" i="37" s="1"/>
  <c r="C2175" i="37" s="1"/>
  <c r="C2185" i="37" s="1"/>
  <c r="C2195" i="37" s="1"/>
  <c r="C2205" i="37" s="1"/>
  <c r="C2215" i="37" s="1"/>
  <c r="C2225" i="37" s="1"/>
  <c r="C2235" i="37" s="1"/>
  <c r="C2245" i="37" s="1"/>
  <c r="C2255" i="37" s="1"/>
  <c r="C2265" i="37" s="1"/>
  <c r="C2275" i="37" s="1"/>
  <c r="C2285" i="37" s="1"/>
  <c r="C2295" i="37" s="1"/>
  <c r="C2305" i="37" s="1"/>
  <c r="C2315" i="37" s="1"/>
  <c r="C2325" i="37" s="1"/>
  <c r="C2335" i="37" s="1"/>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C1856" i="37"/>
  <c r="D1856" i="37"/>
  <c r="D1866" i="37" s="1"/>
  <c r="D1876" i="37" s="1"/>
  <c r="D1886" i="37" s="1"/>
  <c r="D1896" i="37" s="1"/>
  <c r="I83" i="37"/>
  <c r="J83" i="37"/>
  <c r="K83" i="37"/>
  <c r="L83" i="37"/>
  <c r="M83" i="37"/>
  <c r="C1866" i="37"/>
  <c r="C1876" i="37" s="1"/>
  <c r="C1886" i="37" s="1"/>
  <c r="N83" i="37"/>
  <c r="O83" i="37"/>
  <c r="P83" i="37"/>
  <c r="Q83" i="37"/>
  <c r="R83" i="37"/>
  <c r="S83" i="37"/>
  <c r="T83" i="37"/>
  <c r="U83" i="37"/>
  <c r="V83" i="37"/>
  <c r="W83" i="37"/>
  <c r="X83" i="37"/>
  <c r="Y83" i="37"/>
  <c r="Z83" i="37"/>
  <c r="AA83" i="37"/>
  <c r="AB83" i="37"/>
  <c r="C1896" i="37"/>
  <c r="C1906" i="37" s="1"/>
  <c r="C1916" i="37" s="1"/>
  <c r="C1926" i="37" s="1"/>
  <c r="C1936" i="37" s="1"/>
  <c r="C1946" i="37" s="1"/>
  <c r="C1956" i="37" s="1"/>
  <c r="C1966" i="37" s="1"/>
  <c r="C1976" i="37" s="1"/>
  <c r="C1986" i="37" s="1"/>
  <c r="C1996" i="37" s="1"/>
  <c r="C2006" i="37" s="1"/>
  <c r="C2016" i="37" s="1"/>
  <c r="C2026" i="37" s="1"/>
  <c r="C2036" i="37" s="1"/>
  <c r="C2046" i="37" s="1"/>
  <c r="C2056" i="37" s="1"/>
  <c r="C2066" i="37" s="1"/>
  <c r="C2076" i="37" s="1"/>
  <c r="C2086" i="37" s="1"/>
  <c r="C2096" i="37" s="1"/>
  <c r="C2106" i="37" s="1"/>
  <c r="C2116" i="37" s="1"/>
  <c r="C2126" i="37" s="1"/>
  <c r="C2136" i="37" s="1"/>
  <c r="C2146" i="37" s="1"/>
  <c r="C2156" i="37" s="1"/>
  <c r="C2166" i="37" s="1"/>
  <c r="C2176" i="37" s="1"/>
  <c r="C2186" i="37" s="1"/>
  <c r="C2196" i="37" s="1"/>
  <c r="C2206" i="37" s="1"/>
  <c r="C2216" i="37" s="1"/>
  <c r="C2226" i="37" s="1"/>
  <c r="C2236" i="37" s="1"/>
  <c r="C2246" i="37" s="1"/>
  <c r="C2256" i="37" s="1"/>
  <c r="C2266" i="37" s="1"/>
  <c r="C2276" i="37" s="1"/>
  <c r="C2286" i="37" s="1"/>
  <c r="C2296" i="37" s="1"/>
  <c r="C2306" i="37" s="1"/>
  <c r="C2316" i="37" s="1"/>
  <c r="C2326" i="37" s="1"/>
  <c r="C2336" i="37" s="1"/>
  <c r="AC83" i="37"/>
  <c r="AD83" i="37"/>
  <c r="AE83" i="37"/>
  <c r="AF83" i="37"/>
  <c r="AG83" i="37"/>
  <c r="D1906" i="37"/>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C1857" i="37"/>
  <c r="C1867" i="37" s="1"/>
  <c r="C1877" i="37" s="1"/>
  <c r="C1887" i="37" s="1"/>
  <c r="C1897" i="37" s="1"/>
  <c r="C1907" i="37" s="1"/>
  <c r="C1917" i="37" s="1"/>
  <c r="C1927" i="37" s="1"/>
  <c r="C1937" i="37" s="1"/>
  <c r="C1947" i="37" s="1"/>
  <c r="C1957" i="37" s="1"/>
  <c r="C1967" i="37" s="1"/>
  <c r="C1977" i="37" s="1"/>
  <c r="C1987" i="37" s="1"/>
  <c r="C1997" i="37" s="1"/>
  <c r="C2007" i="37" s="1"/>
  <c r="C2017" i="37" s="1"/>
  <c r="C2027" i="37" s="1"/>
  <c r="C2037" i="37" s="1"/>
  <c r="C2047" i="37" s="1"/>
  <c r="C2057" i="37" s="1"/>
  <c r="C2067" i="37" s="1"/>
  <c r="C2077" i="37" s="1"/>
  <c r="C2087" i="37" s="1"/>
  <c r="C2097" i="37" s="1"/>
  <c r="C2107" i="37" s="1"/>
  <c r="C2117" i="37" s="1"/>
  <c r="C2127" i="37" s="1"/>
  <c r="C2137" i="37" s="1"/>
  <c r="C2147" i="37" s="1"/>
  <c r="C2157" i="37" s="1"/>
  <c r="C2167" i="37" s="1"/>
  <c r="C2177" i="37" s="1"/>
  <c r="C2187" i="37" s="1"/>
  <c r="C2197" i="37" s="1"/>
  <c r="C2207" i="37" s="1"/>
  <c r="C2217" i="37" s="1"/>
  <c r="C2227" i="37" s="1"/>
  <c r="C2237" i="37" s="1"/>
  <c r="C2247" i="37" s="1"/>
  <c r="C2257" i="37" s="1"/>
  <c r="C2267" i="37" s="1"/>
  <c r="C2277" i="37" s="1"/>
  <c r="C2287" i="37" s="1"/>
  <c r="C2297" i="37" s="1"/>
  <c r="C2307" i="37" s="1"/>
  <c r="C2317" i="37" s="1"/>
  <c r="C2327" i="37" s="1"/>
  <c r="C2337" i="37" s="1"/>
  <c r="D1857" i="37"/>
  <c r="I84" i="37"/>
  <c r="J84" i="37"/>
  <c r="K84" i="37"/>
  <c r="L84" i="37"/>
  <c r="M84" i="37"/>
  <c r="D1867" i="37"/>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C1858" i="37"/>
  <c r="C1868" i="37" s="1"/>
  <c r="C1878" i="37" s="1"/>
  <c r="C1888" i="37" s="1"/>
  <c r="C1898" i="37" s="1"/>
  <c r="C1908" i="37" s="1"/>
  <c r="C1918" i="37" s="1"/>
  <c r="C1928" i="37" s="1"/>
  <c r="C1938" i="37" s="1"/>
  <c r="C1948" i="37" s="1"/>
  <c r="C1958" i="37" s="1"/>
  <c r="C1968" i="37" s="1"/>
  <c r="C1978" i="37" s="1"/>
  <c r="C1988" i="37" s="1"/>
  <c r="C1998" i="37" s="1"/>
  <c r="C2008" i="37" s="1"/>
  <c r="C2018" i="37" s="1"/>
  <c r="C2028" i="37" s="1"/>
  <c r="C2038" i="37" s="1"/>
  <c r="C2048" i="37" s="1"/>
  <c r="C2058" i="37" s="1"/>
  <c r="C2068" i="37" s="1"/>
  <c r="C2078" i="37" s="1"/>
  <c r="C2088" i="37" s="1"/>
  <c r="C2098" i="37" s="1"/>
  <c r="C2108" i="37" s="1"/>
  <c r="C2118" i="37" s="1"/>
  <c r="C2128" i="37" s="1"/>
  <c r="C2138" i="37" s="1"/>
  <c r="C2148" i="37" s="1"/>
  <c r="C2158" i="37" s="1"/>
  <c r="C2168" i="37" s="1"/>
  <c r="C2178" i="37" s="1"/>
  <c r="C2188" i="37" s="1"/>
  <c r="C2198" i="37" s="1"/>
  <c r="C2208" i="37" s="1"/>
  <c r="C2218" i="37" s="1"/>
  <c r="C2228" i="37" s="1"/>
  <c r="C2238" i="37" s="1"/>
  <c r="C2248" i="37" s="1"/>
  <c r="C2258" i="37" s="1"/>
  <c r="C2268" i="37" s="1"/>
  <c r="C2278" i="37" s="1"/>
  <c r="C2288" i="37" s="1"/>
  <c r="C2298" i="37" s="1"/>
  <c r="C2308" i="37" s="1"/>
  <c r="C2318" i="37" s="1"/>
  <c r="C2328" i="37" s="1"/>
  <c r="C2338" i="37" s="1"/>
  <c r="D1858" i="37"/>
  <c r="D1868" i="37" s="1"/>
  <c r="D1878" i="37" s="1"/>
  <c r="D1888" i="37" s="1"/>
  <c r="D1898" i="37" s="1"/>
  <c r="D1908" i="37" s="1"/>
  <c r="D1918" i="37" s="1"/>
  <c r="D1928" i="37" s="1"/>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I85" i="37"/>
  <c r="J85" i="37"/>
  <c r="K85" i="37"/>
  <c r="L85" i="37"/>
  <c r="M85" i="37"/>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E1859" i="37" s="1"/>
  <c r="C1859" i="37"/>
  <c r="D1859" i="37"/>
  <c r="D1869" i="37" s="1"/>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I86" i="37"/>
  <c r="J86" i="37"/>
  <c r="K86" i="37"/>
  <c r="L86" i="37"/>
  <c r="M86" i="37"/>
  <c r="C1869" i="37"/>
  <c r="C1879" i="37" s="1"/>
  <c r="C1889" i="37" s="1"/>
  <c r="C1899" i="37" s="1"/>
  <c r="C1909" i="37" s="1"/>
  <c r="C1919" i="37" s="1"/>
  <c r="C1929" i="37" s="1"/>
  <c r="C1939" i="37" s="1"/>
  <c r="C1949" i="37" s="1"/>
  <c r="C1959" i="37" s="1"/>
  <c r="C1969" i="37" s="1"/>
  <c r="C1979" i="37" s="1"/>
  <c r="C1989" i="37" s="1"/>
  <c r="C1999" i="37" s="1"/>
  <c r="C2009" i="37" s="1"/>
  <c r="C2019" i="37" s="1"/>
  <c r="C2029" i="37" s="1"/>
  <c r="C2039" i="37" s="1"/>
  <c r="C2049" i="37" s="1"/>
  <c r="C2059" i="37" s="1"/>
  <c r="C2069" i="37" s="1"/>
  <c r="C2079" i="37" s="1"/>
  <c r="C2089" i="37" s="1"/>
  <c r="C2099" i="37" s="1"/>
  <c r="C2109" i="37" s="1"/>
  <c r="C2119" i="37" s="1"/>
  <c r="C2129" i="37" s="1"/>
  <c r="C2139" i="37" s="1"/>
  <c r="C2149" i="37" s="1"/>
  <c r="C2159" i="37" s="1"/>
  <c r="C2169" i="37" s="1"/>
  <c r="C2179" i="37" s="1"/>
  <c r="C2189" i="37" s="1"/>
  <c r="C2199" i="37" s="1"/>
  <c r="C2209" i="37" s="1"/>
  <c r="C2219" i="37" s="1"/>
  <c r="C2229" i="37" s="1"/>
  <c r="C2239" i="37" s="1"/>
  <c r="C2249" i="37" s="1"/>
  <c r="C2259" i="37" s="1"/>
  <c r="C2269" i="37" s="1"/>
  <c r="C2279" i="37" s="1"/>
  <c r="C2289" i="37" s="1"/>
  <c r="C2299" i="37" s="1"/>
  <c r="C2309" i="37" s="1"/>
  <c r="C2319" i="37" s="1"/>
  <c r="C2329" i="37" s="1"/>
  <c r="C2339" i="37" s="1"/>
  <c r="N86" i="37"/>
  <c r="O86" i="37"/>
  <c r="P86" i="37"/>
  <c r="Q86" i="37"/>
  <c r="R86" i="37"/>
  <c r="S86" i="37"/>
  <c r="T86" i="37"/>
  <c r="U86" i="37"/>
  <c r="V86" i="37"/>
  <c r="W86" i="37"/>
  <c r="X86" i="37"/>
  <c r="Y86" i="37"/>
  <c r="Z86" i="37"/>
  <c r="AA86" i="37"/>
  <c r="AB86" i="37"/>
  <c r="AC86" i="37"/>
  <c r="AD86" i="37"/>
  <c r="AE86" i="37"/>
  <c r="AF86" i="37"/>
  <c r="AG86" i="37"/>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C1860" i="37"/>
  <c r="C1870" i="37" s="1"/>
  <c r="C1880" i="37" s="1"/>
  <c r="C1890" i="37" s="1"/>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I87" i="37"/>
  <c r="J87" i="37"/>
  <c r="K87" i="37"/>
  <c r="L87" i="37"/>
  <c r="M87" i="37"/>
  <c r="N87" i="37"/>
  <c r="O87" i="37"/>
  <c r="P87" i="37"/>
  <c r="Q87" i="37"/>
  <c r="R87" i="37"/>
  <c r="S87" i="37"/>
  <c r="T87" i="37"/>
  <c r="U87" i="37"/>
  <c r="V87" i="37"/>
  <c r="W87" i="37"/>
  <c r="X87" i="37"/>
  <c r="Y87" i="37"/>
  <c r="Z87" i="37"/>
  <c r="AA87" i="37"/>
  <c r="AB87" i="37"/>
  <c r="C1900" i="37"/>
  <c r="C1910" i="37" s="1"/>
  <c r="C1920" i="37" s="1"/>
  <c r="C1930" i="37" s="1"/>
  <c r="C1940" i="37" s="1"/>
  <c r="C1950" i="37" s="1"/>
  <c r="C1960" i="37" s="1"/>
  <c r="C1970" i="37" s="1"/>
  <c r="C1980" i="37" s="1"/>
  <c r="C1990" i="37" s="1"/>
  <c r="C2000" i="37" s="1"/>
  <c r="C2010" i="37" s="1"/>
  <c r="C2020" i="37" s="1"/>
  <c r="C2030" i="37" s="1"/>
  <c r="C2040" i="37" s="1"/>
  <c r="C2050" i="37" s="1"/>
  <c r="C2060" i="37" s="1"/>
  <c r="C2070" i="37" s="1"/>
  <c r="C2080" i="37" s="1"/>
  <c r="C2090" i="37" s="1"/>
  <c r="C2100" i="37" s="1"/>
  <c r="C2110" i="37" s="1"/>
  <c r="C2120" i="37" s="1"/>
  <c r="C2130" i="37" s="1"/>
  <c r="C2140" i="37" s="1"/>
  <c r="C2150" i="37" s="1"/>
  <c r="C2160" i="37" s="1"/>
  <c r="C2170" i="37" s="1"/>
  <c r="C2180" i="37" s="1"/>
  <c r="C2190" i="37" s="1"/>
  <c r="C2200" i="37" s="1"/>
  <c r="C2210" i="37" s="1"/>
  <c r="C2220" i="37" s="1"/>
  <c r="C2230" i="37" s="1"/>
  <c r="C2240" i="37" s="1"/>
  <c r="C2250" i="37" s="1"/>
  <c r="C2260" i="37" s="1"/>
  <c r="C2270" i="37" s="1"/>
  <c r="C2280" i="37" s="1"/>
  <c r="C2290" i="37" s="1"/>
  <c r="C2300" i="37" s="1"/>
  <c r="C2310" i="37" s="1"/>
  <c r="C2320" i="37" s="1"/>
  <c r="C2330" i="37" s="1"/>
  <c r="C2340" i="37" s="1"/>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C1861" i="37"/>
  <c r="D1861" i="37"/>
  <c r="D1871" i="37" s="1"/>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I88" i="37"/>
  <c r="J88" i="37"/>
  <c r="K88" i="37"/>
  <c r="L88" i="37"/>
  <c r="M88" i="37"/>
  <c r="C1871" i="37"/>
  <c r="C1881" i="37" s="1"/>
  <c r="C1891" i="37" s="1"/>
  <c r="C1901" i="37" s="1"/>
  <c r="C1911" i="37" s="1"/>
  <c r="C1921" i="37" s="1"/>
  <c r="C1931" i="37" s="1"/>
  <c r="C1941" i="37" s="1"/>
  <c r="C1951" i="37" s="1"/>
  <c r="C1961" i="37" s="1"/>
  <c r="C1971" i="37" s="1"/>
  <c r="C1981" i="37" s="1"/>
  <c r="C1991" i="37" s="1"/>
  <c r="C2001" i="37" s="1"/>
  <c r="C2011" i="37" s="1"/>
  <c r="C2021" i="37" s="1"/>
  <c r="C2031" i="37" s="1"/>
  <c r="C2041" i="37" s="1"/>
  <c r="C2051" i="37" s="1"/>
  <c r="C2061" i="37" s="1"/>
  <c r="C2071" i="37" s="1"/>
  <c r="C2081" i="37" s="1"/>
  <c r="C2091" i="37" s="1"/>
  <c r="C2101" i="37" s="1"/>
  <c r="C2111" i="37" s="1"/>
  <c r="C2121" i="37" s="1"/>
  <c r="C2131" i="37" s="1"/>
  <c r="C2141" i="37" s="1"/>
  <c r="C2151" i="37" s="1"/>
  <c r="C2161" i="37" s="1"/>
  <c r="C2171" i="37" s="1"/>
  <c r="C2181" i="37" s="1"/>
  <c r="C2191" i="37" s="1"/>
  <c r="C2201" i="37" s="1"/>
  <c r="C2211" i="37" s="1"/>
  <c r="C2221" i="37" s="1"/>
  <c r="C2231" i="37" s="1"/>
  <c r="C2241" i="37" s="1"/>
  <c r="C2251" i="37" s="1"/>
  <c r="C2261" i="37" s="1"/>
  <c r="C2271" i="37" s="1"/>
  <c r="C2281" i="37" s="1"/>
  <c r="C2291" i="37" s="1"/>
  <c r="C2301" i="37" s="1"/>
  <c r="C2311" i="37" s="1"/>
  <c r="C2321" i="37" s="1"/>
  <c r="C2331" i="37" s="1"/>
  <c r="C2341" i="37" s="1"/>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C1862" i="37"/>
  <c r="C1872" i="37" s="1"/>
  <c r="C1882" i="37" s="1"/>
  <c r="C1892" i="37" s="1"/>
  <c r="D1862" i="37"/>
  <c r="D1872" i="37" s="1"/>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I89" i="37"/>
  <c r="J89" i="37"/>
  <c r="K89" i="37"/>
  <c r="L89" i="37"/>
  <c r="M89" i="37"/>
  <c r="N89" i="37"/>
  <c r="O89" i="37"/>
  <c r="P89" i="37"/>
  <c r="Q89" i="37"/>
  <c r="R89" i="37"/>
  <c r="S89" i="37"/>
  <c r="T89" i="37"/>
  <c r="U89" i="37"/>
  <c r="V89" i="37"/>
  <c r="W89" i="37"/>
  <c r="X89" i="37"/>
  <c r="Y89" i="37"/>
  <c r="Z89" i="37"/>
  <c r="AA89" i="37"/>
  <c r="AB89" i="37"/>
  <c r="C1902" i="37"/>
  <c r="C1912" i="37" s="1"/>
  <c r="C1922" i="37" s="1"/>
  <c r="C1932" i="37" s="1"/>
  <c r="C1942" i="37" s="1"/>
  <c r="C1952" i="37" s="1"/>
  <c r="C1962" i="37" s="1"/>
  <c r="C1972" i="37" s="1"/>
  <c r="C1982" i="37" s="1"/>
  <c r="C1992" i="37" s="1"/>
  <c r="C2002" i="37" s="1"/>
  <c r="C2012" i="37" s="1"/>
  <c r="C2022" i="37" s="1"/>
  <c r="C2032" i="37" s="1"/>
  <c r="C2042" i="37" s="1"/>
  <c r="C2052" i="37" s="1"/>
  <c r="C2062" i="37" s="1"/>
  <c r="C2072" i="37" s="1"/>
  <c r="C2082" i="37" s="1"/>
  <c r="C2092" i="37" s="1"/>
  <c r="C2102" i="37" s="1"/>
  <c r="C2112" i="37" s="1"/>
  <c r="C2122" i="37" s="1"/>
  <c r="C2132" i="37" s="1"/>
  <c r="C2142" i="37" s="1"/>
  <c r="C2152" i="37" s="1"/>
  <c r="C2162" i="37" s="1"/>
  <c r="C2172" i="37" s="1"/>
  <c r="C2182" i="37" s="1"/>
  <c r="C2192" i="37" s="1"/>
  <c r="C2202" i="37" s="1"/>
  <c r="C2212" i="37" s="1"/>
  <c r="C2222" i="37" s="1"/>
  <c r="C2232" i="37" s="1"/>
  <c r="C2242" i="37" s="1"/>
  <c r="C2252" i="37" s="1"/>
  <c r="C2262" i="37" s="1"/>
  <c r="C2272" i="37" s="1"/>
  <c r="C2282" i="37" s="1"/>
  <c r="C2292" i="37" s="1"/>
  <c r="C2302" i="37" s="1"/>
  <c r="C2312" i="37" s="1"/>
  <c r="C2322" i="37" s="1"/>
  <c r="C2332" i="37" s="1"/>
  <c r="C2342" i="37" s="1"/>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E1286" i="37" l="1"/>
  <c r="E1278" i="37"/>
  <c r="E1270" i="37"/>
  <c r="E1262" i="37"/>
  <c r="E1254" i="37"/>
  <c r="E1246" i="37"/>
  <c r="E710" i="37"/>
  <c r="E702" i="37"/>
  <c r="E250" i="37"/>
  <c r="E559" i="37"/>
  <c r="E169" i="37"/>
  <c r="E1794" i="37"/>
  <c r="E1310" i="37"/>
  <c r="E1309" i="37"/>
  <c r="E1357" i="37"/>
  <c r="E1326" i="37"/>
  <c r="E1291" i="37"/>
  <c r="E1283" i="37"/>
  <c r="E772" i="37"/>
  <c r="E707" i="37"/>
  <c r="E699" i="37"/>
  <c r="E160" i="37"/>
  <c r="E335" i="37"/>
  <c r="E1856" i="37"/>
  <c r="E1079" i="37"/>
  <c r="E828" i="37"/>
  <c r="E736" i="37"/>
  <c r="E728" i="37"/>
  <c r="E720" i="37"/>
  <c r="E712" i="37"/>
  <c r="E704" i="37"/>
  <c r="E696" i="37"/>
  <c r="E694" i="37"/>
  <c r="E221" i="37"/>
  <c r="E161" i="37"/>
  <c r="E626" i="37"/>
  <c r="E353" i="37"/>
  <c r="E1798" i="37"/>
  <c r="E1314" i="37"/>
  <c r="E1285" i="37"/>
  <c r="E1277" i="37"/>
  <c r="E1269" i="37"/>
  <c r="E1261" i="37"/>
  <c r="E1253" i="37"/>
  <c r="E912" i="37"/>
  <c r="E1038" i="37"/>
  <c r="E943" i="37"/>
  <c r="E725" i="37"/>
  <c r="E717" i="37"/>
  <c r="E709" i="37"/>
  <c r="E701" i="37"/>
  <c r="E187" i="37"/>
  <c r="E306" i="37"/>
  <c r="E355" i="37"/>
  <c r="E215" i="37"/>
  <c r="E1290" i="37"/>
  <c r="E1282" i="37"/>
  <c r="E1274" i="37"/>
  <c r="E1266" i="37"/>
  <c r="E1258" i="37"/>
  <c r="E1250" i="37"/>
  <c r="E1245" i="37"/>
  <c r="E714" i="37"/>
  <c r="E706" i="37"/>
  <c r="E698" i="37"/>
  <c r="E199" i="37"/>
  <c r="E544" i="37"/>
  <c r="E533" i="37"/>
  <c r="E273" i="37"/>
  <c r="E223" i="37"/>
  <c r="E1814" i="37"/>
  <c r="E1379" i="37"/>
  <c r="E1287" i="37"/>
  <c r="E1279" i="37"/>
  <c r="E1271" i="37"/>
  <c r="E1263" i="37"/>
  <c r="E1255" i="37"/>
  <c r="E1247" i="37"/>
  <c r="E361" i="37"/>
  <c r="E1796" i="37"/>
  <c r="E762" i="37"/>
  <c r="E732" i="37"/>
  <c r="E724" i="37"/>
  <c r="E716" i="37"/>
  <c r="E708" i="37"/>
  <c r="E700" i="37"/>
  <c r="E695" i="37"/>
  <c r="E489" i="37"/>
  <c r="E389" i="37"/>
  <c r="E1861" i="37"/>
  <c r="E1916" i="37"/>
  <c r="E1289" i="37"/>
  <c r="E1281" i="37"/>
  <c r="E1273" i="37"/>
  <c r="E1265" i="37"/>
  <c r="E1257" i="37"/>
  <c r="E1249" i="37"/>
  <c r="E713" i="37"/>
  <c r="E705" i="37"/>
  <c r="E697" i="37"/>
  <c r="E2242" i="37"/>
  <c r="E2132" i="37"/>
  <c r="E1922" i="37"/>
  <c r="E2101" i="37"/>
  <c r="E2240" i="37"/>
  <c r="E2130" i="37"/>
  <c r="E1920" i="37"/>
  <c r="E2099" i="37"/>
  <c r="E2238" i="37"/>
  <c r="E2128" i="37"/>
  <c r="E1918" i="37"/>
  <c r="E2097" i="37"/>
  <c r="E2315" i="37"/>
  <c r="E2014" i="37"/>
  <c r="E1771" i="37"/>
  <c r="E1691" i="37"/>
  <c r="E1766" i="37"/>
  <c r="E2062" i="37"/>
  <c r="E2251" i="37"/>
  <c r="E2041" i="37"/>
  <c r="E1931" i="37"/>
  <c r="E2060" i="37"/>
  <c r="E2249" i="37"/>
  <c r="E2039" i="37"/>
  <c r="E1929" i="37"/>
  <c r="E2058" i="37"/>
  <c r="E2247" i="37"/>
  <c r="E2037" i="37"/>
  <c r="E2236" i="37"/>
  <c r="E2076" i="37"/>
  <c r="E2285" i="37"/>
  <c r="E1924" i="37"/>
  <c r="E2153" i="37"/>
  <c r="E1830" i="37"/>
  <c r="E1750" i="37"/>
  <c r="E1670" i="37"/>
  <c r="E1600" i="37"/>
  <c r="E1468" i="37"/>
  <c r="E2322" i="37"/>
  <c r="E2212" i="37"/>
  <c r="E2002" i="37"/>
  <c r="E1892" i="37"/>
  <c r="E2181" i="37"/>
  <c r="E2320" i="37"/>
  <c r="E2210" i="37"/>
  <c r="E2000" i="37"/>
  <c r="E1890" i="37"/>
  <c r="E2179" i="37"/>
  <c r="E2318" i="37"/>
  <c r="E2208" i="37"/>
  <c r="E1998" i="37"/>
  <c r="E1888" i="37"/>
  <c r="E2177" i="37"/>
  <c r="E1877" i="37"/>
  <c r="E2206" i="37"/>
  <c r="E2046" i="37"/>
  <c r="E2114" i="37"/>
  <c r="E2073" i="37"/>
  <c r="E1772" i="37"/>
  <c r="E1711" i="37"/>
  <c r="E1361" i="37"/>
  <c r="E1429" i="37"/>
  <c r="E1598" i="37"/>
  <c r="E1514" i="37"/>
  <c r="E904" i="37"/>
  <c r="E2121" i="37"/>
  <c r="E2011" i="37"/>
  <c r="E2140" i="37"/>
  <c r="E2329" i="37"/>
  <c r="E2119" i="37"/>
  <c r="E2009" i="37"/>
  <c r="E2138" i="37"/>
  <c r="E2327" i="37"/>
  <c r="E2117" i="37"/>
  <c r="E2007" i="37"/>
  <c r="E2273" i="37"/>
  <c r="E1692" i="37"/>
  <c r="E2292" i="37"/>
  <c r="E1972" i="37"/>
  <c r="E2261" i="37"/>
  <c r="E2175" i="37"/>
  <c r="E1925" i="37"/>
  <c r="E1599" i="37"/>
  <c r="E2222" i="37"/>
  <c r="E1902" i="37"/>
  <c r="E2201" i="37"/>
  <c r="E2091" i="37"/>
  <c r="E1881" i="37"/>
  <c r="E2220" i="37"/>
  <c r="E1900" i="37"/>
  <c r="E2199" i="37"/>
  <c r="E2089" i="37"/>
  <c r="E1879" i="37"/>
  <c r="E2218" i="37"/>
  <c r="E1898" i="37"/>
  <c r="E2197" i="37"/>
  <c r="E2087" i="37"/>
  <c r="E2316" i="37"/>
  <c r="E2156" i="37"/>
  <c r="E1996" i="37"/>
  <c r="E2115" i="37"/>
  <c r="E2053" i="37"/>
  <c r="E1812" i="37"/>
  <c r="E1532" i="37"/>
  <c r="E1351" i="37"/>
  <c r="E1699" i="37"/>
  <c r="E1517" i="37"/>
  <c r="E1684" i="37"/>
  <c r="E2142" i="37"/>
  <c r="E2243" i="37"/>
  <c r="E1828" i="37"/>
  <c r="E1941" i="37"/>
  <c r="E2290" i="37"/>
  <c r="E1939" i="37"/>
  <c r="E2288" i="37"/>
  <c r="E2078" i="37"/>
  <c r="E1968" i="37"/>
  <c r="E2257" i="37"/>
  <c r="E2204" i="37"/>
  <c r="E2162" i="37"/>
  <c r="E2052" i="37"/>
  <c r="E2341" i="37"/>
  <c r="E2021" i="37"/>
  <c r="E2160" i="37"/>
  <c r="E2050" i="37"/>
  <c r="E2339" i="37"/>
  <c r="E2019" i="37"/>
  <c r="E2158" i="37"/>
  <c r="E2048" i="37"/>
  <c r="E2337" i="37"/>
  <c r="E1957" i="37"/>
  <c r="E2286" i="37"/>
  <c r="E2126" i="37"/>
  <c r="E1966" i="37"/>
  <c r="E2245" i="37"/>
  <c r="E2055" i="37"/>
  <c r="E1995" i="37"/>
  <c r="E1914" i="37"/>
  <c r="E1884" i="37"/>
  <c r="E2283" i="37"/>
  <c r="E1973" i="37"/>
  <c r="E1452" i="37"/>
  <c r="E2331" i="37"/>
  <c r="E1993" i="37"/>
  <c r="E1579" i="37"/>
  <c r="E1718" i="37"/>
  <c r="E1633" i="37"/>
  <c r="E2082" i="37"/>
  <c r="E2080" i="37"/>
  <c r="E1970" i="37"/>
  <c r="E2259" i="37"/>
  <c r="E2234" i="37"/>
  <c r="E2133" i="37"/>
  <c r="E1913" i="37"/>
  <c r="E1612" i="37"/>
  <c r="E1749" i="37"/>
  <c r="E2302" i="37"/>
  <c r="E1982" i="37"/>
  <c r="E2281" i="37"/>
  <c r="E2171" i="37"/>
  <c r="E1961" i="37"/>
  <c r="E2300" i="37"/>
  <c r="E1980" i="37"/>
  <c r="E2279" i="37"/>
  <c r="E2169" i="37"/>
  <c r="E1959" i="37"/>
  <c r="E2298" i="37"/>
  <c r="E1978" i="37"/>
  <c r="E2277" i="37"/>
  <c r="E2167" i="37"/>
  <c r="E1927" i="37"/>
  <c r="E2025" i="37"/>
  <c r="E1965" i="37"/>
  <c r="E2244" i="37"/>
  <c r="E1893" i="37"/>
  <c r="E1372" i="37"/>
  <c r="E1580" i="37"/>
  <c r="E1430" i="37"/>
  <c r="E1350" i="37"/>
  <c r="E931" i="37"/>
  <c r="E2017" i="37"/>
  <c r="E1937" i="37"/>
  <c r="E1857" i="37"/>
  <c r="E2296" i="37"/>
  <c r="E2216" i="37"/>
  <c r="E2136" i="37"/>
  <c r="E2056" i="37"/>
  <c r="E1976" i="37"/>
  <c r="E1896" i="37"/>
  <c r="E2295" i="37"/>
  <c r="E2235" i="37"/>
  <c r="E2165" i="37"/>
  <c r="E2095" i="37"/>
  <c r="E2035" i="37"/>
  <c r="E1975" i="37"/>
  <c r="E1915" i="37"/>
  <c r="E2284" i="37"/>
  <c r="E2194" i="37"/>
  <c r="E2094" i="37"/>
  <c r="E2004" i="37"/>
  <c r="E1964" i="37"/>
  <c r="E1874" i="37"/>
  <c r="E2323" i="37"/>
  <c r="E2233" i="37"/>
  <c r="E1840" i="37"/>
  <c r="E1824" i="37"/>
  <c r="E1808" i="37"/>
  <c r="E1611" i="37"/>
  <c r="E1381" i="37"/>
  <c r="E1520" i="37"/>
  <c r="E1509" i="37"/>
  <c r="E1758" i="37"/>
  <c r="E1428" i="37"/>
  <c r="E1587" i="37"/>
  <c r="E1346" i="37"/>
  <c r="E1634" i="37"/>
  <c r="E1663" i="37"/>
  <c r="E1353" i="37"/>
  <c r="E1142" i="37"/>
  <c r="E1231" i="37"/>
  <c r="C570" i="37"/>
  <c r="C580" i="37" s="1"/>
  <c r="C590" i="37" s="1"/>
  <c r="C600" i="37" s="1"/>
  <c r="C610" i="37" s="1"/>
  <c r="C620" i="37" s="1"/>
  <c r="C630" i="37" s="1"/>
  <c r="C640" i="37" s="1"/>
  <c r="E560" i="37"/>
  <c r="E585" i="37"/>
  <c r="C595" i="37"/>
  <c r="C605" i="37" s="1"/>
  <c r="C615" i="37" s="1"/>
  <c r="C625" i="37" s="1"/>
  <c r="C635" i="37" s="1"/>
  <c r="E635" i="37" s="1"/>
  <c r="E2312" i="37"/>
  <c r="E2232" i="37"/>
  <c r="E2152" i="37"/>
  <c r="E2072" i="37"/>
  <c r="E1992" i="37"/>
  <c r="E1912" i="37"/>
  <c r="E2271" i="37"/>
  <c r="E2191" i="37"/>
  <c r="E2111" i="37"/>
  <c r="E2031" i="37"/>
  <c r="E1951" i="37"/>
  <c r="E1871" i="37"/>
  <c r="E2310" i="37"/>
  <c r="E2230" i="37"/>
  <c r="E2150" i="37"/>
  <c r="E2070" i="37"/>
  <c r="E1990" i="37"/>
  <c r="E1910" i="37"/>
  <c r="E2269" i="37"/>
  <c r="E2189" i="37"/>
  <c r="E2109" i="37"/>
  <c r="E2029" i="37"/>
  <c r="E1949" i="37"/>
  <c r="E1869" i="37"/>
  <c r="E2308" i="37"/>
  <c r="E2228" i="37"/>
  <c r="E2148" i="37"/>
  <c r="E2068" i="37"/>
  <c r="E1988" i="37"/>
  <c r="E1908" i="37"/>
  <c r="E2267" i="37"/>
  <c r="E2187" i="37"/>
  <c r="E2107" i="37"/>
  <c r="E2027" i="37"/>
  <c r="E1947" i="37"/>
  <c r="E1867" i="37"/>
  <c r="E2306" i="37"/>
  <c r="E2226" i="37"/>
  <c r="E2146" i="37"/>
  <c r="E2066" i="37"/>
  <c r="E1986" i="37"/>
  <c r="E1906" i="37"/>
  <c r="E2105" i="37"/>
  <c r="E2045" i="37"/>
  <c r="E2154" i="37"/>
  <c r="E2193" i="37"/>
  <c r="E1834" i="37"/>
  <c r="E1818" i="37"/>
  <c r="E1802" i="37"/>
  <c r="E1732" i="37"/>
  <c r="E1652" i="37"/>
  <c r="E1572" i="37"/>
  <c r="E1492" i="37"/>
  <c r="E1412" i="37"/>
  <c r="E1332" i="37"/>
  <c r="E1731" i="37"/>
  <c r="E1671" i="37"/>
  <c r="E1441" i="37"/>
  <c r="E1421" i="37"/>
  <c r="E1540" i="37"/>
  <c r="E1679" i="37"/>
  <c r="E1359" i="37"/>
  <c r="E1755" i="37"/>
  <c r="E1605" i="37"/>
  <c r="E831" i="37"/>
  <c r="E1060" i="37"/>
  <c r="E1099" i="37"/>
  <c r="E1065" i="37"/>
  <c r="E1104" i="37"/>
  <c r="E2332" i="37"/>
  <c r="E2172" i="37"/>
  <c r="E1932" i="37"/>
  <c r="E2211" i="37"/>
  <c r="E1891" i="37"/>
  <c r="E2250" i="37"/>
  <c r="E2010" i="37"/>
  <c r="E2289" i="37"/>
  <c r="E2209" i="37"/>
  <c r="E2049" i="37"/>
  <c r="E2168" i="37"/>
  <c r="E1928" i="37"/>
  <c r="E2207" i="37"/>
  <c r="E2047" i="37"/>
  <c r="E1887" i="37"/>
  <c r="E2166" i="37"/>
  <c r="E2006" i="37"/>
  <c r="E2074" i="37"/>
  <c r="E1838" i="37"/>
  <c r="E1759" i="37"/>
  <c r="E1589" i="37"/>
  <c r="E1439" i="37"/>
  <c r="E1398" i="37"/>
  <c r="E1484" i="37"/>
  <c r="E1343" i="37"/>
  <c r="E910" i="37"/>
  <c r="E2342" i="37"/>
  <c r="E2262" i="37"/>
  <c r="E2182" i="37"/>
  <c r="E2102" i="37"/>
  <c r="E2022" i="37"/>
  <c r="E1942" i="37"/>
  <c r="E1862" i="37"/>
  <c r="E2301" i="37"/>
  <c r="E2221" i="37"/>
  <c r="E2141" i="37"/>
  <c r="E2061" i="37"/>
  <c r="E1981" i="37"/>
  <c r="E1901" i="37"/>
  <c r="E2340" i="37"/>
  <c r="E2260" i="37"/>
  <c r="E2180" i="37"/>
  <c r="E2100" i="37"/>
  <c r="E2020" i="37"/>
  <c r="E1940" i="37"/>
  <c r="E1860" i="37"/>
  <c r="E2299" i="37"/>
  <c r="E2219" i="37"/>
  <c r="E2139" i="37"/>
  <c r="E2059" i="37"/>
  <c r="E1979" i="37"/>
  <c r="E1899" i="37"/>
  <c r="E2338" i="37"/>
  <c r="E2258" i="37"/>
  <c r="E2178" i="37"/>
  <c r="E2098" i="37"/>
  <c r="E2018" i="37"/>
  <c r="E1938" i="37"/>
  <c r="E1858" i="37"/>
  <c r="E2297" i="37"/>
  <c r="E2217" i="37"/>
  <c r="E2137" i="37"/>
  <c r="E2057" i="37"/>
  <c r="E1977" i="37"/>
  <c r="E1897" i="37"/>
  <c r="E2336" i="37"/>
  <c r="E2256" i="37"/>
  <c r="E2176" i="37"/>
  <c r="E2096" i="37"/>
  <c r="E2016" i="37"/>
  <c r="E1936" i="37"/>
  <c r="E1876" i="37"/>
  <c r="E2325" i="37"/>
  <c r="E2255" i="37"/>
  <c r="E2195" i="37"/>
  <c r="E2135" i="37"/>
  <c r="E2075" i="37"/>
  <c r="E2005" i="37"/>
  <c r="E1935" i="37"/>
  <c r="E1875" i="37"/>
  <c r="E2314" i="37"/>
  <c r="E2254" i="37"/>
  <c r="E2164" i="37"/>
  <c r="E2124" i="37"/>
  <c r="E2034" i="37"/>
  <c r="E1934" i="37"/>
  <c r="E2293" i="37"/>
  <c r="E2203" i="37"/>
  <c r="E2163" i="37"/>
  <c r="E2123" i="37"/>
  <c r="E2083" i="37"/>
  <c r="E2043" i="37"/>
  <c r="E2003" i="37"/>
  <c r="E1963" i="37"/>
  <c r="E1923" i="37"/>
  <c r="E1883" i="37"/>
  <c r="E1832" i="37"/>
  <c r="E1816" i="37"/>
  <c r="E1800" i="37"/>
  <c r="E1621" i="37"/>
  <c r="E1561" i="37"/>
  <c r="E1680" i="37"/>
  <c r="E1360" i="37"/>
  <c r="E1669" i="37"/>
  <c r="E1349" i="37"/>
  <c r="E1748" i="37"/>
  <c r="E1638" i="37"/>
  <c r="E1438" i="37"/>
  <c r="E1647" i="37"/>
  <c r="E1646" i="37"/>
  <c r="E1435" i="37"/>
  <c r="E1315" i="37"/>
  <c r="E991" i="37"/>
  <c r="E1063" i="37"/>
  <c r="E2092" i="37"/>
  <c r="E2291" i="37"/>
  <c r="E2051" i="37"/>
  <c r="E1971" i="37"/>
  <c r="E2170" i="37"/>
  <c r="E1930" i="37"/>
  <c r="E1969" i="37"/>
  <c r="E2328" i="37"/>
  <c r="E2088" i="37"/>
  <c r="E2287" i="37"/>
  <c r="E1967" i="37"/>
  <c r="E2326" i="37"/>
  <c r="E2086" i="37"/>
  <c r="E1926" i="37"/>
  <c r="E2185" i="37"/>
  <c r="E2125" i="37"/>
  <c r="E1865" i="37"/>
  <c r="E2304" i="37"/>
  <c r="E1806" i="37"/>
  <c r="E1521" i="37"/>
  <c r="E1419" i="37"/>
  <c r="E1753" i="37"/>
  <c r="E1062" i="37"/>
  <c r="E971" i="37"/>
  <c r="E1097" i="37"/>
  <c r="E2272" i="37"/>
  <c r="E2192" i="37"/>
  <c r="E2112" i="37"/>
  <c r="E2032" i="37"/>
  <c r="E1952" i="37"/>
  <c r="E1872" i="37"/>
  <c r="E2311" i="37"/>
  <c r="E2231" i="37"/>
  <c r="E2151" i="37"/>
  <c r="E2071" i="37"/>
  <c r="E1991" i="37"/>
  <c r="E1911" i="37"/>
  <c r="E2270" i="37"/>
  <c r="E2190" i="37"/>
  <c r="E2110" i="37"/>
  <c r="E2030" i="37"/>
  <c r="E1950" i="37"/>
  <c r="E1870" i="37"/>
  <c r="E2309" i="37"/>
  <c r="E2229" i="37"/>
  <c r="E2149" i="37"/>
  <c r="E2069" i="37"/>
  <c r="E1989" i="37"/>
  <c r="E1909" i="37"/>
  <c r="E2268" i="37"/>
  <c r="E2188" i="37"/>
  <c r="E2108" i="37"/>
  <c r="E2028" i="37"/>
  <c r="E1948" i="37"/>
  <c r="E1868" i="37"/>
  <c r="E2307" i="37"/>
  <c r="E2227" i="37"/>
  <c r="E2147" i="37"/>
  <c r="E2067" i="37"/>
  <c r="E1987" i="37"/>
  <c r="E1907" i="37"/>
  <c r="E2266" i="37"/>
  <c r="E2186" i="37"/>
  <c r="E2106" i="37"/>
  <c r="E2026" i="37"/>
  <c r="E1946" i="37"/>
  <c r="E2265" i="37"/>
  <c r="E2205" i="37"/>
  <c r="E1945" i="37"/>
  <c r="E1885" i="37"/>
  <c r="E2324" i="37"/>
  <c r="E1994" i="37"/>
  <c r="E1842" i="37"/>
  <c r="E1826" i="37"/>
  <c r="E1810" i="37"/>
  <c r="E1661" i="37"/>
  <c r="E1641" i="37"/>
  <c r="E1431" i="37"/>
  <c r="E1700" i="37"/>
  <c r="E1380" i="37"/>
  <c r="E1519" i="37"/>
  <c r="E1588" i="37"/>
  <c r="E1458" i="37"/>
  <c r="E1757" i="37"/>
  <c r="E1717" i="37"/>
  <c r="E1596" i="37"/>
  <c r="E1644" i="37"/>
  <c r="E1504" i="37"/>
  <c r="E1523" i="37"/>
  <c r="E982" i="37"/>
  <c r="E880" i="37"/>
  <c r="E829" i="37"/>
  <c r="E2252" i="37"/>
  <c r="E2012" i="37"/>
  <c r="E2131" i="37"/>
  <c r="E2330" i="37"/>
  <c r="E2090" i="37"/>
  <c r="E2129" i="37"/>
  <c r="E1889" i="37"/>
  <c r="E2248" i="37"/>
  <c r="E2008" i="37"/>
  <c r="E2127" i="37"/>
  <c r="E2246" i="37"/>
  <c r="E1822" i="37"/>
  <c r="E1510" i="37"/>
  <c r="E1739" i="37"/>
  <c r="E1618" i="37"/>
  <c r="E1397" i="37"/>
  <c r="E1675" i="37"/>
  <c r="E1485" i="37"/>
  <c r="E1483" i="37"/>
  <c r="E1323" i="37"/>
  <c r="E2282" i="37"/>
  <c r="E2202" i="37"/>
  <c r="E2122" i="37"/>
  <c r="E2042" i="37"/>
  <c r="E1962" i="37"/>
  <c r="E1882" i="37"/>
  <c r="E2321" i="37"/>
  <c r="E2241" i="37"/>
  <c r="E2161" i="37"/>
  <c r="E2081" i="37"/>
  <c r="E2001" i="37"/>
  <c r="E1921" i="37"/>
  <c r="E2280" i="37"/>
  <c r="E2200" i="37"/>
  <c r="E2120" i="37"/>
  <c r="E2040" i="37"/>
  <c r="E1960" i="37"/>
  <c r="E1880" i="37"/>
  <c r="E2319" i="37"/>
  <c r="E2239" i="37"/>
  <c r="E2159" i="37"/>
  <c r="E2079" i="37"/>
  <c r="E1999" i="37"/>
  <c r="E1919" i="37"/>
  <c r="E2278" i="37"/>
  <c r="E2198" i="37"/>
  <c r="E2118" i="37"/>
  <c r="E2038" i="37"/>
  <c r="E1958" i="37"/>
  <c r="E1878" i="37"/>
  <c r="E2317" i="37"/>
  <c r="E2237" i="37"/>
  <c r="E2157" i="37"/>
  <c r="E2077" i="37"/>
  <c r="E1997" i="37"/>
  <c r="E1917" i="37"/>
  <c r="E2276" i="37"/>
  <c r="E2196" i="37"/>
  <c r="E2116" i="37"/>
  <c r="E2036" i="37"/>
  <c r="E1956" i="37"/>
  <c r="E1886" i="37"/>
  <c r="E2335" i="37"/>
  <c r="E2275" i="37"/>
  <c r="E2215" i="37"/>
  <c r="E2155" i="37"/>
  <c r="E2085" i="37"/>
  <c r="E2015" i="37"/>
  <c r="E1955" i="37"/>
  <c r="E1895" i="37"/>
  <c r="E2334" i="37"/>
  <c r="E2274" i="37"/>
  <c r="E2174" i="37"/>
  <c r="E2084" i="37"/>
  <c r="E2044" i="37"/>
  <c r="E1954" i="37"/>
  <c r="E1854" i="37"/>
  <c r="E2313" i="37"/>
  <c r="E2213" i="37"/>
  <c r="E1836" i="37"/>
  <c r="E1820" i="37"/>
  <c r="E1804" i="37"/>
  <c r="E1762" i="37"/>
  <c r="E1742" i="37"/>
  <c r="E1682" i="37"/>
  <c r="E1662" i="37"/>
  <c r="E1602" i="37"/>
  <c r="E1582" i="37"/>
  <c r="E1522" i="37"/>
  <c r="E1502" i="37"/>
  <c r="E1442" i="37"/>
  <c r="E1422" i="37"/>
  <c r="E1362" i="37"/>
  <c r="E1342" i="37"/>
  <c r="E1761" i="37"/>
  <c r="E1741" i="37"/>
  <c r="E1511" i="37"/>
  <c r="E1760" i="37"/>
  <c r="E1740" i="37"/>
  <c r="E1590" i="37"/>
  <c r="E1440" i="37"/>
  <c r="E1420" i="37"/>
  <c r="E1539" i="37"/>
  <c r="E1548" i="37"/>
  <c r="E1516" i="37"/>
  <c r="E1665" i="37"/>
  <c r="E1355" i="37"/>
  <c r="E1473" i="37"/>
  <c r="E1313" i="37"/>
  <c r="E841" i="37"/>
  <c r="E854" i="37"/>
  <c r="E1866" i="37"/>
  <c r="E2305" i="37"/>
  <c r="E2225" i="37"/>
  <c r="E2145" i="37"/>
  <c r="E2065" i="37"/>
  <c r="E1985" i="37"/>
  <c r="E1905" i="37"/>
  <c r="E2264" i="37"/>
  <c r="E2184" i="37"/>
  <c r="E2104" i="37"/>
  <c r="E2024" i="37"/>
  <c r="E1944" i="37"/>
  <c r="E1864" i="37"/>
  <c r="E2303" i="37"/>
  <c r="E2223" i="37"/>
  <c r="E2143" i="37"/>
  <c r="E2063" i="37"/>
  <c r="E1983" i="37"/>
  <c r="E1903" i="37"/>
  <c r="E1841" i="37"/>
  <c r="E1837" i="37"/>
  <c r="E1833" i="37"/>
  <c r="E1829" i="37"/>
  <c r="E1825" i="37"/>
  <c r="E1821" i="37"/>
  <c r="E1817" i="37"/>
  <c r="E1813" i="37"/>
  <c r="E1809" i="37"/>
  <c r="E1805" i="37"/>
  <c r="E1801" i="37"/>
  <c r="E1797" i="37"/>
  <c r="E1792" i="37"/>
  <c r="E1712" i="37"/>
  <c r="E1632" i="37"/>
  <c r="E1552" i="37"/>
  <c r="E1472" i="37"/>
  <c r="E1392" i="37"/>
  <c r="E1312" i="37"/>
  <c r="E1791" i="37"/>
  <c r="E1591" i="37"/>
  <c r="E1541" i="37"/>
  <c r="E1471" i="37"/>
  <c r="E1401" i="37"/>
  <c r="E1790" i="37"/>
  <c r="E1720" i="37"/>
  <c r="E1630" i="37"/>
  <c r="E1560" i="37"/>
  <c r="E1470" i="37"/>
  <c r="E1400" i="37"/>
  <c r="E1789" i="37"/>
  <c r="E1719" i="37"/>
  <c r="E1629" i="37"/>
  <c r="E1559" i="37"/>
  <c r="E1469" i="37"/>
  <c r="E1399" i="37"/>
  <c r="E1788" i="37"/>
  <c r="E1698" i="37"/>
  <c r="E1678" i="37"/>
  <c r="E1508" i="37"/>
  <c r="E1378" i="37"/>
  <c r="E1358" i="37"/>
  <c r="E1667" i="37"/>
  <c r="E1607" i="37"/>
  <c r="E1347" i="37"/>
  <c r="E1327" i="37"/>
  <c r="E1476" i="37"/>
  <c r="E1366" i="37"/>
  <c r="E1645" i="37"/>
  <c r="E1664" i="37"/>
  <c r="E1444" i="37"/>
  <c r="E1503" i="37"/>
  <c r="E932" i="37"/>
  <c r="E1171" i="37"/>
  <c r="E1071" i="37"/>
  <c r="E811" i="37"/>
  <c r="E1170" i="37"/>
  <c r="E860" i="37"/>
  <c r="E1177" i="37"/>
  <c r="E905" i="37"/>
  <c r="E580" i="37"/>
  <c r="E2294" i="37"/>
  <c r="E2214" i="37"/>
  <c r="E2134" i="37"/>
  <c r="E2054" i="37"/>
  <c r="E1974" i="37"/>
  <c r="E1894" i="37"/>
  <c r="E2333" i="37"/>
  <c r="E2253" i="37"/>
  <c r="E2173" i="37"/>
  <c r="E2093" i="37"/>
  <c r="E2013" i="37"/>
  <c r="E1933" i="37"/>
  <c r="E1853" i="37"/>
  <c r="E1722" i="37"/>
  <c r="E1642" i="37"/>
  <c r="E1562" i="37"/>
  <c r="E1482" i="37"/>
  <c r="E1402" i="37"/>
  <c r="E1322" i="37"/>
  <c r="E1721" i="37"/>
  <c r="E1601" i="37"/>
  <c r="E1551" i="37"/>
  <c r="E1501" i="37"/>
  <c r="E1341" i="37"/>
  <c r="E1660" i="37"/>
  <c r="E1500" i="37"/>
  <c r="E1340" i="37"/>
  <c r="E1659" i="37"/>
  <c r="E1499" i="37"/>
  <c r="E1339" i="37"/>
  <c r="E1708" i="37"/>
  <c r="E1558" i="37"/>
  <c r="E1388" i="37"/>
  <c r="E1747" i="37"/>
  <c r="E1557" i="37"/>
  <c r="E1427" i="37"/>
  <c r="E1666" i="37"/>
  <c r="E1446" i="37"/>
  <c r="E1505" i="37"/>
  <c r="E1594" i="37"/>
  <c r="E1324" i="37"/>
  <c r="E1673" i="37"/>
  <c r="E1433" i="37"/>
  <c r="E1222" i="37"/>
  <c r="E1161" i="37"/>
  <c r="E1061" i="37"/>
  <c r="E901" i="37"/>
  <c r="E1160" i="37"/>
  <c r="E769" i="37"/>
  <c r="E1148" i="37"/>
  <c r="E1186" i="37"/>
  <c r="E2224" i="37"/>
  <c r="E2144" i="37"/>
  <c r="E2064" i="37"/>
  <c r="E1984" i="37"/>
  <c r="E1904" i="37"/>
  <c r="E2263" i="37"/>
  <c r="E2183" i="37"/>
  <c r="E2103" i="37"/>
  <c r="E2023" i="37"/>
  <c r="E1943" i="37"/>
  <c r="E1863" i="37"/>
  <c r="E1839" i="37"/>
  <c r="E1835" i="37"/>
  <c r="E1831" i="37"/>
  <c r="E1827" i="37"/>
  <c r="E1823" i="37"/>
  <c r="E1819" i="37"/>
  <c r="E1815" i="37"/>
  <c r="E1811" i="37"/>
  <c r="E1807" i="37"/>
  <c r="E1803" i="37"/>
  <c r="E1799" i="37"/>
  <c r="E1795" i="37"/>
  <c r="E1752" i="37"/>
  <c r="E1672" i="37"/>
  <c r="E1592" i="37"/>
  <c r="E1512" i="37"/>
  <c r="E1432" i="37"/>
  <c r="E1352" i="37"/>
  <c r="E1751" i="37"/>
  <c r="E1701" i="37"/>
  <c r="E1481" i="37"/>
  <c r="E1391" i="37"/>
  <c r="E1321" i="37"/>
  <c r="E1710" i="37"/>
  <c r="E1640" i="37"/>
  <c r="E1550" i="37"/>
  <c r="E1480" i="37"/>
  <c r="E1390" i="37"/>
  <c r="E1320" i="37"/>
  <c r="E1709" i="37"/>
  <c r="E1639" i="37"/>
  <c r="E1549" i="37"/>
  <c r="E1479" i="37"/>
  <c r="E1389" i="37"/>
  <c r="E1319" i="37"/>
  <c r="E1668" i="37"/>
  <c r="E1538" i="37"/>
  <c r="E1518" i="37"/>
  <c r="E1348" i="37"/>
  <c r="E1767" i="37"/>
  <c r="E1507" i="37"/>
  <c r="E1447" i="37"/>
  <c r="E1317" i="37"/>
  <c r="E1686" i="37"/>
  <c r="E1486" i="37"/>
  <c r="E1635" i="37"/>
  <c r="E1525" i="37"/>
  <c r="E1764" i="37"/>
  <c r="E1344" i="37"/>
  <c r="E1603" i="37"/>
  <c r="E1011" i="37"/>
  <c r="E761" i="37"/>
  <c r="E989" i="37"/>
  <c r="E918" i="37"/>
  <c r="E1007" i="37"/>
  <c r="E957" i="37"/>
  <c r="E1226" i="37"/>
  <c r="E1224" i="37"/>
  <c r="E1173" i="37"/>
  <c r="E1093" i="37"/>
  <c r="E2113" i="37"/>
  <c r="E2033" i="37"/>
  <c r="E1953" i="37"/>
  <c r="E1873" i="37"/>
  <c r="E1782" i="37"/>
  <c r="E1702" i="37"/>
  <c r="E1622" i="37"/>
  <c r="E1542" i="37"/>
  <c r="E1462" i="37"/>
  <c r="E1382" i="37"/>
  <c r="E1781" i="37"/>
  <c r="E1681" i="37"/>
  <c r="E1631" i="37"/>
  <c r="E1581" i="37"/>
  <c r="E1531" i="37"/>
  <c r="E1461" i="37"/>
  <c r="E1780" i="37"/>
  <c r="E1620" i="37"/>
  <c r="E1460" i="37"/>
  <c r="E1779" i="37"/>
  <c r="E1619" i="37"/>
  <c r="E1459" i="37"/>
  <c r="E1778" i="37"/>
  <c r="E1628" i="37"/>
  <c r="E1478" i="37"/>
  <c r="E1328" i="37"/>
  <c r="E1677" i="37"/>
  <c r="E1487" i="37"/>
  <c r="E1636" i="37"/>
  <c r="E1506" i="37"/>
  <c r="E1475" i="37"/>
  <c r="E1345" i="37"/>
  <c r="E1325" i="37"/>
  <c r="E1474" i="37"/>
  <c r="E1364" i="37"/>
  <c r="E1643" i="37"/>
  <c r="E812" i="37"/>
  <c r="E1081" i="37"/>
  <c r="E921" i="37"/>
  <c r="E1010" i="37"/>
  <c r="E800" i="37"/>
  <c r="E1187" i="37"/>
  <c r="E767" i="37"/>
  <c r="E1144" i="37"/>
  <c r="E1651" i="37"/>
  <c r="E1571" i="37"/>
  <c r="E1491" i="37"/>
  <c r="E1411" i="37"/>
  <c r="E1331" i="37"/>
  <c r="E1730" i="37"/>
  <c r="E1650" i="37"/>
  <c r="E1570" i="37"/>
  <c r="E1490" i="37"/>
  <c r="E1410" i="37"/>
  <c r="E1330" i="37"/>
  <c r="E1729" i="37"/>
  <c r="E1649" i="37"/>
  <c r="E1569" i="37"/>
  <c r="E1489" i="37"/>
  <c r="E1409" i="37"/>
  <c r="E1329" i="37"/>
  <c r="E1728" i="37"/>
  <c r="E1648" i="37"/>
  <c r="E1568" i="37"/>
  <c r="E1488" i="37"/>
  <c r="E1408" i="37"/>
  <c r="E1308" i="37"/>
  <c r="E1787" i="37"/>
  <c r="E1627" i="37"/>
  <c r="E1467" i="37"/>
  <c r="E1746" i="37"/>
  <c r="E1726" i="37"/>
  <c r="E1556" i="37"/>
  <c r="E1426" i="37"/>
  <c r="E1406" i="37"/>
  <c r="E1715" i="37"/>
  <c r="E1585" i="37"/>
  <c r="E1565" i="37"/>
  <c r="E1395" i="37"/>
  <c r="E1744" i="37"/>
  <c r="E1724" i="37"/>
  <c r="E1554" i="37"/>
  <c r="E1424" i="37"/>
  <c r="E1404" i="37"/>
  <c r="E1713" i="37"/>
  <c r="E1583" i="37"/>
  <c r="E1563" i="37"/>
  <c r="E1393" i="37"/>
  <c r="E1292" i="37"/>
  <c r="E1284" i="37"/>
  <c r="E1276" i="37"/>
  <c r="E1268" i="37"/>
  <c r="E1260" i="37"/>
  <c r="E1252" i="37"/>
  <c r="E1230" i="37"/>
  <c r="E1080" i="37"/>
  <c r="E990" i="37"/>
  <c r="E970" i="37"/>
  <c r="E930" i="37"/>
  <c r="E929" i="37"/>
  <c r="E938" i="37"/>
  <c r="E847" i="37"/>
  <c r="E1175" i="37"/>
  <c r="E1105" i="37"/>
  <c r="E865" i="37"/>
  <c r="E784" i="37"/>
  <c r="E853" i="37"/>
  <c r="E783" i="37"/>
  <c r="E1738" i="37"/>
  <c r="E1658" i="37"/>
  <c r="E1578" i="37"/>
  <c r="E1498" i="37"/>
  <c r="E1418" i="37"/>
  <c r="E1318" i="37"/>
  <c r="E1727" i="37"/>
  <c r="E1637" i="37"/>
  <c r="E1567" i="37"/>
  <c r="E1477" i="37"/>
  <c r="E1407" i="37"/>
  <c r="E1756" i="37"/>
  <c r="E1606" i="37"/>
  <c r="E1436" i="37"/>
  <c r="E1765" i="37"/>
  <c r="E1595" i="37"/>
  <c r="E1445" i="37"/>
  <c r="E1754" i="37"/>
  <c r="E1604" i="37"/>
  <c r="E1434" i="37"/>
  <c r="E1763" i="37"/>
  <c r="E1593" i="37"/>
  <c r="E1443" i="37"/>
  <c r="E1275" i="37"/>
  <c r="E1267" i="37"/>
  <c r="E1259" i="37"/>
  <c r="E1251" i="37"/>
  <c r="E1232" i="37"/>
  <c r="E1192" i="37"/>
  <c r="E1152" i="37"/>
  <c r="E1112" i="37"/>
  <c r="E1072" i="37"/>
  <c r="E1032" i="37"/>
  <c r="E1221" i="37"/>
  <c r="E1070" i="37"/>
  <c r="E920" i="37"/>
  <c r="E1117" i="37"/>
  <c r="E806" i="37"/>
  <c r="E855" i="37"/>
  <c r="E775" i="37"/>
  <c r="E431" i="37"/>
  <c r="E1451" i="37"/>
  <c r="E1371" i="37"/>
  <c r="E1770" i="37"/>
  <c r="E1690" i="37"/>
  <c r="E1610" i="37"/>
  <c r="E1530" i="37"/>
  <c r="E1450" i="37"/>
  <c r="E1370" i="37"/>
  <c r="E1769" i="37"/>
  <c r="E1689" i="37"/>
  <c r="E1609" i="37"/>
  <c r="E1529" i="37"/>
  <c r="E1449" i="37"/>
  <c r="E1369" i="37"/>
  <c r="E1768" i="37"/>
  <c r="E1688" i="37"/>
  <c r="E1608" i="37"/>
  <c r="E1528" i="37"/>
  <c r="E1448" i="37"/>
  <c r="E1368" i="37"/>
  <c r="E1707" i="37"/>
  <c r="E1547" i="37"/>
  <c r="E1387" i="37"/>
  <c r="E1716" i="37"/>
  <c r="E1586" i="37"/>
  <c r="E1566" i="37"/>
  <c r="E1396" i="37"/>
  <c r="E1745" i="37"/>
  <c r="E1725" i="37"/>
  <c r="E1555" i="37"/>
  <c r="E1425" i="37"/>
  <c r="E1405" i="37"/>
  <c r="E1714" i="37"/>
  <c r="E1584" i="37"/>
  <c r="E1564" i="37"/>
  <c r="E1394" i="37"/>
  <c r="E1743" i="37"/>
  <c r="E1723" i="37"/>
  <c r="E1553" i="37"/>
  <c r="E1423" i="37"/>
  <c r="E1403" i="37"/>
  <c r="E1288" i="37"/>
  <c r="E1280" i="37"/>
  <c r="E1272" i="37"/>
  <c r="E1264" i="37"/>
  <c r="E1256" i="37"/>
  <c r="E1248" i="37"/>
  <c r="E1172" i="37"/>
  <c r="E1092" i="37"/>
  <c r="E1012" i="37"/>
  <c r="E1241" i="37"/>
  <c r="E1151" i="37"/>
  <c r="E1131" i="37"/>
  <c r="E1091" i="37"/>
  <c r="E1001" i="37"/>
  <c r="E851" i="37"/>
  <c r="E1220" i="37"/>
  <c r="E1229" i="37"/>
  <c r="E1039" i="37"/>
  <c r="E1208" i="37"/>
  <c r="E1188" i="37"/>
  <c r="E1167" i="37"/>
  <c r="E857" i="37"/>
  <c r="E1106" i="37"/>
  <c r="E936" i="37"/>
  <c r="E945" i="37"/>
  <c r="E1014" i="37"/>
  <c r="E944" i="37"/>
  <c r="E1183" i="37"/>
  <c r="E381" i="37"/>
  <c r="E598" i="37"/>
  <c r="E1687" i="37"/>
  <c r="E1597" i="37"/>
  <c r="E1527" i="37"/>
  <c r="E1437" i="37"/>
  <c r="E1367" i="37"/>
  <c r="E1676" i="37"/>
  <c r="E1526" i="37"/>
  <c r="E1356" i="37"/>
  <c r="E1685" i="37"/>
  <c r="E1515" i="37"/>
  <c r="E1365" i="37"/>
  <c r="E1674" i="37"/>
  <c r="E1524" i="37"/>
  <c r="E1354" i="37"/>
  <c r="E1683" i="37"/>
  <c r="E1513" i="37"/>
  <c r="E1363" i="37"/>
  <c r="E862" i="37"/>
  <c r="E822" i="37"/>
  <c r="E911" i="37"/>
  <c r="E1240" i="37"/>
  <c r="E1150" i="37"/>
  <c r="E1130" i="37"/>
  <c r="E1090" i="37"/>
  <c r="E1000" i="37"/>
  <c r="E1199" i="37"/>
  <c r="E878" i="37"/>
  <c r="E1087" i="37"/>
  <c r="E956" i="37"/>
  <c r="E1015" i="37"/>
  <c r="E1223" i="37"/>
  <c r="E983" i="37"/>
  <c r="E1777" i="37"/>
  <c r="E1697" i="37"/>
  <c r="E1617" i="37"/>
  <c r="E1537" i="37"/>
  <c r="E1457" i="37"/>
  <c r="E1377" i="37"/>
  <c r="E1776" i="37"/>
  <c r="E1696" i="37"/>
  <c r="E1616" i="37"/>
  <c r="E1536" i="37"/>
  <c r="E1456" i="37"/>
  <c r="E1376" i="37"/>
  <c r="E1775" i="37"/>
  <c r="E1695" i="37"/>
  <c r="E1615" i="37"/>
  <c r="E1535" i="37"/>
  <c r="E1455" i="37"/>
  <c r="E1375" i="37"/>
  <c r="E1774" i="37"/>
  <c r="E1694" i="37"/>
  <c r="E1614" i="37"/>
  <c r="E1534" i="37"/>
  <c r="E1454" i="37"/>
  <c r="E1374" i="37"/>
  <c r="E1773" i="37"/>
  <c r="E1693" i="37"/>
  <c r="E1613" i="37"/>
  <c r="E1533" i="37"/>
  <c r="E1453" i="37"/>
  <c r="E1373" i="37"/>
  <c r="E1202" i="37"/>
  <c r="E1122" i="37"/>
  <c r="E1042" i="37"/>
  <c r="E992" i="37"/>
  <c r="E942" i="37"/>
  <c r="E892" i="37"/>
  <c r="E842" i="37"/>
  <c r="E792" i="37"/>
  <c r="E1111" i="37"/>
  <c r="E951" i="37"/>
  <c r="E791" i="37"/>
  <c r="E1110" i="37"/>
  <c r="E950" i="37"/>
  <c r="E780" i="37"/>
  <c r="E1159" i="37"/>
  <c r="E889" i="37"/>
  <c r="E789" i="37"/>
  <c r="E1098" i="37"/>
  <c r="E998" i="37"/>
  <c r="E1207" i="37"/>
  <c r="E1027" i="37"/>
  <c r="E937" i="37"/>
  <c r="E826" i="37"/>
  <c r="E776" i="37"/>
  <c r="E1145" i="37"/>
  <c r="E1184" i="37"/>
  <c r="E1094" i="37"/>
  <c r="E984" i="37"/>
  <c r="E1023" i="37"/>
  <c r="E933" i="37"/>
  <c r="E823" i="37"/>
  <c r="E548" i="37"/>
  <c r="E1182" i="37"/>
  <c r="E1102" i="37"/>
  <c r="E1022" i="37"/>
  <c r="E972" i="37"/>
  <c r="E922" i="37"/>
  <c r="E872" i="37"/>
  <c r="E1211" i="37"/>
  <c r="E1141" i="37"/>
  <c r="E1051" i="37"/>
  <c r="E981" i="37"/>
  <c r="E891" i="37"/>
  <c r="E821" i="37"/>
  <c r="E1210" i="37"/>
  <c r="E1140" i="37"/>
  <c r="E1050" i="37"/>
  <c r="E980" i="37"/>
  <c r="E890" i="37"/>
  <c r="E870" i="37"/>
  <c r="E850" i="37"/>
  <c r="E1049" i="37"/>
  <c r="E1029" i="37"/>
  <c r="E1198" i="37"/>
  <c r="E888" i="37"/>
  <c r="E868" i="37"/>
  <c r="E1047" i="37"/>
  <c r="E867" i="37"/>
  <c r="E777" i="37"/>
  <c r="E906" i="37"/>
  <c r="E866" i="37"/>
  <c r="E1185" i="37"/>
  <c r="E1095" i="37"/>
  <c r="E985" i="37"/>
  <c r="E1024" i="37"/>
  <c r="E934" i="37"/>
  <c r="E824" i="37"/>
  <c r="E863" i="37"/>
  <c r="E773" i="37"/>
  <c r="E440" i="37"/>
  <c r="E399" i="37"/>
  <c r="E349" i="37"/>
  <c r="E537" i="37"/>
  <c r="E1307" i="37"/>
  <c r="E1786" i="37"/>
  <c r="E1706" i="37"/>
  <c r="E1626" i="37"/>
  <c r="E1546" i="37"/>
  <c r="E1466" i="37"/>
  <c r="E1386" i="37"/>
  <c r="E1306" i="37"/>
  <c r="E1785" i="37"/>
  <c r="E1705" i="37"/>
  <c r="E1625" i="37"/>
  <c r="E1545" i="37"/>
  <c r="E1465" i="37"/>
  <c r="E1385" i="37"/>
  <c r="E1305" i="37"/>
  <c r="E1784" i="37"/>
  <c r="E1704" i="37"/>
  <c r="E1624" i="37"/>
  <c r="E1544" i="37"/>
  <c r="E1464" i="37"/>
  <c r="E1384" i="37"/>
  <c r="E1304" i="37"/>
  <c r="E1783" i="37"/>
  <c r="E1703" i="37"/>
  <c r="E1623" i="37"/>
  <c r="E1543" i="37"/>
  <c r="E1463" i="37"/>
  <c r="E1383" i="37"/>
  <c r="E1303" i="37"/>
  <c r="E1212" i="37"/>
  <c r="E1132" i="37"/>
  <c r="E1052" i="37"/>
  <c r="E902" i="37"/>
  <c r="E852" i="37"/>
  <c r="E830" i="37"/>
  <c r="E810" i="37"/>
  <c r="E770" i="37"/>
  <c r="E1149" i="37"/>
  <c r="E1089" i="37"/>
  <c r="E879" i="37"/>
  <c r="E779" i="37"/>
  <c r="E1238" i="37"/>
  <c r="E1088" i="37"/>
  <c r="E988" i="37"/>
  <c r="E928" i="37"/>
  <c r="E1017" i="37"/>
  <c r="E927" i="37"/>
  <c r="E797" i="37"/>
  <c r="E1126" i="37"/>
  <c r="E1036" i="37"/>
  <c r="E1225" i="37"/>
  <c r="E785" i="37"/>
  <c r="E1174" i="37"/>
  <c r="E1064" i="37"/>
  <c r="E1103" i="37"/>
  <c r="E1013" i="37"/>
  <c r="E903" i="37"/>
  <c r="E471" i="37"/>
  <c r="E1338" i="37"/>
  <c r="E1737" i="37"/>
  <c r="E1657" i="37"/>
  <c r="E1577" i="37"/>
  <c r="E1497" i="37"/>
  <c r="E1417" i="37"/>
  <c r="E1337" i="37"/>
  <c r="E1736" i="37"/>
  <c r="E1656" i="37"/>
  <c r="E1576" i="37"/>
  <c r="E1496" i="37"/>
  <c r="E1416" i="37"/>
  <c r="E1336" i="37"/>
  <c r="E1735" i="37"/>
  <c r="E1655" i="37"/>
  <c r="E1575" i="37"/>
  <c r="E1495" i="37"/>
  <c r="E1415" i="37"/>
  <c r="E1335" i="37"/>
  <c r="E1734" i="37"/>
  <c r="E1654" i="37"/>
  <c r="E1574" i="37"/>
  <c r="E1494" i="37"/>
  <c r="E1414" i="37"/>
  <c r="E1334" i="37"/>
  <c r="E1733" i="37"/>
  <c r="E1653" i="37"/>
  <c r="E1573" i="37"/>
  <c r="E1493" i="37"/>
  <c r="E1413" i="37"/>
  <c r="E1333" i="37"/>
  <c r="E1242" i="37"/>
  <c r="E1162" i="37"/>
  <c r="E1082" i="37"/>
  <c r="E1002" i="37"/>
  <c r="E952" i="37"/>
  <c r="E832" i="37"/>
  <c r="E782" i="37"/>
  <c r="E1191" i="37"/>
  <c r="E1031" i="37"/>
  <c r="E871" i="37"/>
  <c r="E1190" i="37"/>
  <c r="E1030" i="37"/>
  <c r="E1209" i="37"/>
  <c r="E1109" i="37"/>
  <c r="E939" i="37"/>
  <c r="E839" i="37"/>
  <c r="E759" i="37"/>
  <c r="E1048" i="37"/>
  <c r="E948" i="37"/>
  <c r="E778" i="37"/>
  <c r="E887" i="37"/>
  <c r="E1146" i="37"/>
  <c r="E1096" i="37"/>
  <c r="E966" i="37"/>
  <c r="E1025" i="37"/>
  <c r="E935" i="37"/>
  <c r="E825" i="37"/>
  <c r="E864" i="37"/>
  <c r="E774" i="37"/>
  <c r="E1143" i="37"/>
  <c r="E1179" i="37"/>
  <c r="E1129" i="37"/>
  <c r="E1009" i="37"/>
  <c r="E959" i="37"/>
  <c r="E909" i="37"/>
  <c r="E859" i="37"/>
  <c r="E809" i="37"/>
  <c r="E1168" i="37"/>
  <c r="E1118" i="37"/>
  <c r="E1068" i="37"/>
  <c r="E1018" i="37"/>
  <c r="E968" i="37"/>
  <c r="E848" i="37"/>
  <c r="E798" i="37"/>
  <c r="E1227" i="37"/>
  <c r="E1067" i="37"/>
  <c r="E907" i="37"/>
  <c r="E1206" i="37"/>
  <c r="E1016" i="37"/>
  <c r="E886" i="37"/>
  <c r="E641" i="37"/>
  <c r="E311" i="37"/>
  <c r="E568" i="37"/>
  <c r="E465" i="37"/>
  <c r="E134" i="37"/>
  <c r="E962" i="37"/>
  <c r="E882" i="37"/>
  <c r="E802" i="37"/>
  <c r="E1201" i="37"/>
  <c r="E1121" i="37"/>
  <c r="E1041" i="37"/>
  <c r="E961" i="37"/>
  <c r="E881" i="37"/>
  <c r="E801" i="37"/>
  <c r="E1200" i="37"/>
  <c r="E1120" i="37"/>
  <c r="E1040" i="37"/>
  <c r="E960" i="37"/>
  <c r="E760" i="37"/>
  <c r="E1239" i="37"/>
  <c r="E1189" i="37"/>
  <c r="E919" i="37"/>
  <c r="E869" i="37"/>
  <c r="E1078" i="37"/>
  <c r="E1028" i="37"/>
  <c r="E1196" i="37"/>
  <c r="E1066" i="37"/>
  <c r="E1026" i="37"/>
  <c r="E876" i="37"/>
  <c r="E1205" i="37"/>
  <c r="E1125" i="37"/>
  <c r="E1045" i="37"/>
  <c r="E965" i="37"/>
  <c r="E885" i="37"/>
  <c r="E805" i="37"/>
  <c r="E1204" i="37"/>
  <c r="E1124" i="37"/>
  <c r="E1044" i="37"/>
  <c r="E964" i="37"/>
  <c r="E884" i="37"/>
  <c r="E804" i="37"/>
  <c r="E1203" i="37"/>
  <c r="E1123" i="37"/>
  <c r="E1043" i="37"/>
  <c r="E963" i="37"/>
  <c r="E883" i="37"/>
  <c r="E803" i="37"/>
  <c r="E644" i="37"/>
  <c r="D645" i="37"/>
  <c r="D646" i="37" s="1"/>
  <c r="D647" i="37" s="1"/>
  <c r="D648" i="37" s="1"/>
  <c r="D649" i="37" s="1"/>
  <c r="D650" i="37" s="1"/>
  <c r="D651" i="37" s="1"/>
  <c r="D652" i="37" s="1"/>
  <c r="D653" i="37" s="1"/>
  <c r="D654" i="37" s="1"/>
  <c r="D655" i="37" s="1"/>
  <c r="D656" i="37" s="1"/>
  <c r="D657" i="37" s="1"/>
  <c r="D658" i="37" s="1"/>
  <c r="D659" i="37" s="1"/>
  <c r="D660" i="37" s="1"/>
  <c r="E631" i="37"/>
  <c r="E319" i="37"/>
  <c r="E1169" i="37"/>
  <c r="E1119" i="37"/>
  <c r="E1069" i="37"/>
  <c r="E1019" i="37"/>
  <c r="E969" i="37"/>
  <c r="E849" i="37"/>
  <c r="E799" i="37"/>
  <c r="E1228" i="37"/>
  <c r="E1178" i="37"/>
  <c r="E1128" i="37"/>
  <c r="E1008" i="37"/>
  <c r="E958" i="37"/>
  <c r="E908" i="37"/>
  <c r="E858" i="37"/>
  <c r="E808" i="37"/>
  <c r="E1147" i="37"/>
  <c r="E987" i="37"/>
  <c r="E827" i="37"/>
  <c r="E1176" i="37"/>
  <c r="E1046" i="37"/>
  <c r="E856" i="37"/>
  <c r="E649" i="37"/>
  <c r="E371" i="37"/>
  <c r="E500" i="37"/>
  <c r="E599" i="37"/>
  <c r="E1181" i="37"/>
  <c r="E1101" i="37"/>
  <c r="E1021" i="37"/>
  <c r="E941" i="37"/>
  <c r="E861" i="37"/>
  <c r="E781" i="37"/>
  <c r="E1180" i="37"/>
  <c r="E1100" i="37"/>
  <c r="E1020" i="37"/>
  <c r="E940" i="37"/>
  <c r="E840" i="37"/>
  <c r="E790" i="37"/>
  <c r="E999" i="37"/>
  <c r="E949" i="37"/>
  <c r="E1158" i="37"/>
  <c r="E1108" i="37"/>
  <c r="E838" i="37"/>
  <c r="E788" i="37"/>
  <c r="E1197" i="37"/>
  <c r="E1127" i="37"/>
  <c r="E1107" i="37"/>
  <c r="E1037" i="37"/>
  <c r="E967" i="37"/>
  <c r="E947" i="37"/>
  <c r="E877" i="37"/>
  <c r="E807" i="37"/>
  <c r="E787" i="37"/>
  <c r="E1116" i="37"/>
  <c r="E986" i="37"/>
  <c r="E946" i="37"/>
  <c r="E796" i="37"/>
  <c r="E531" i="37"/>
  <c r="E321" i="37"/>
  <c r="E201" i="37"/>
  <c r="E628" i="37"/>
  <c r="E508" i="37"/>
  <c r="E347" i="37"/>
  <c r="E224" i="37"/>
  <c r="E758" i="37"/>
  <c r="E1237" i="37"/>
  <c r="E1157" i="37"/>
  <c r="E1077" i="37"/>
  <c r="E997" i="37"/>
  <c r="E917" i="37"/>
  <c r="E837" i="37"/>
  <c r="E757" i="37"/>
  <c r="E1236" i="37"/>
  <c r="E1156" i="37"/>
  <c r="E1076" i="37"/>
  <c r="E996" i="37"/>
  <c r="E916" i="37"/>
  <c r="E836" i="37"/>
  <c r="E756" i="37"/>
  <c r="E1235" i="37"/>
  <c r="E1155" i="37"/>
  <c r="E1075" i="37"/>
  <c r="E995" i="37"/>
  <c r="E915" i="37"/>
  <c r="E835" i="37"/>
  <c r="E755" i="37"/>
  <c r="E1234" i="37"/>
  <c r="E1154" i="37"/>
  <c r="E1074" i="37"/>
  <c r="E994" i="37"/>
  <c r="E914" i="37"/>
  <c r="E834" i="37"/>
  <c r="E754" i="37"/>
  <c r="E1233" i="37"/>
  <c r="E1153" i="37"/>
  <c r="E1073" i="37"/>
  <c r="E993" i="37"/>
  <c r="E913" i="37"/>
  <c r="E833" i="37"/>
  <c r="E753" i="37"/>
  <c r="E612" i="37"/>
  <c r="E572" i="37"/>
  <c r="E532" i="37"/>
  <c r="E492" i="37"/>
  <c r="E452" i="37"/>
  <c r="E412" i="37"/>
  <c r="E372" i="37"/>
  <c r="E332" i="37"/>
  <c r="E292" i="37"/>
  <c r="E252" i="37"/>
  <c r="E192" i="37"/>
  <c r="E591" i="37"/>
  <c r="E261" i="37"/>
  <c r="E640" i="37"/>
  <c r="E350" i="37"/>
  <c r="E240" i="37"/>
  <c r="E619" i="37"/>
  <c r="E439" i="37"/>
  <c r="E588" i="37"/>
  <c r="E228" i="37"/>
  <c r="E405" i="37"/>
  <c r="E293" i="37"/>
  <c r="E900" i="37"/>
  <c r="E820" i="37"/>
  <c r="E1219" i="37"/>
  <c r="E1139" i="37"/>
  <c r="E1059" i="37"/>
  <c r="E979" i="37"/>
  <c r="E899" i="37"/>
  <c r="E819" i="37"/>
  <c r="E1218" i="37"/>
  <c r="E1138" i="37"/>
  <c r="E1058" i="37"/>
  <c r="E978" i="37"/>
  <c r="E898" i="37"/>
  <c r="E818" i="37"/>
  <c r="E1217" i="37"/>
  <c r="E1137" i="37"/>
  <c r="E1057" i="37"/>
  <c r="E977" i="37"/>
  <c r="E897" i="37"/>
  <c r="E817" i="37"/>
  <c r="E1216" i="37"/>
  <c r="E1136" i="37"/>
  <c r="E1056" i="37"/>
  <c r="E976" i="37"/>
  <c r="E896" i="37"/>
  <c r="E816" i="37"/>
  <c r="E1215" i="37"/>
  <c r="E1135" i="37"/>
  <c r="E1055" i="37"/>
  <c r="E975" i="37"/>
  <c r="E895" i="37"/>
  <c r="E815" i="37"/>
  <c r="E1214" i="37"/>
  <c r="E1134" i="37"/>
  <c r="E1054" i="37"/>
  <c r="E974" i="37"/>
  <c r="E894" i="37"/>
  <c r="E814" i="37"/>
  <c r="E1213" i="37"/>
  <c r="E1133" i="37"/>
  <c r="E1053" i="37"/>
  <c r="E973" i="37"/>
  <c r="E893" i="37"/>
  <c r="E813" i="37"/>
  <c r="E421" i="37"/>
  <c r="E589" i="37"/>
  <c r="E409" i="37"/>
  <c r="E558" i="37"/>
  <c r="E478" i="37"/>
  <c r="E546" i="37"/>
  <c r="E138" i="37"/>
  <c r="E122" i="37"/>
  <c r="E1166" i="37"/>
  <c r="E1086" i="37"/>
  <c r="E1006" i="37"/>
  <c r="E926" i="37"/>
  <c r="E846" i="37"/>
  <c r="E766" i="37"/>
  <c r="E1165" i="37"/>
  <c r="E1085" i="37"/>
  <c r="E1005" i="37"/>
  <c r="E925" i="37"/>
  <c r="E845" i="37"/>
  <c r="E765" i="37"/>
  <c r="E1164" i="37"/>
  <c r="E1084" i="37"/>
  <c r="E1004" i="37"/>
  <c r="E924" i="37"/>
  <c r="E844" i="37"/>
  <c r="E764" i="37"/>
  <c r="E1163" i="37"/>
  <c r="E1083" i="37"/>
  <c r="E1003" i="37"/>
  <c r="E923" i="37"/>
  <c r="E843" i="37"/>
  <c r="E763" i="37"/>
  <c r="E541" i="37"/>
  <c r="E521" i="37"/>
  <c r="E481" i="37"/>
  <c r="E211" i="37"/>
  <c r="E590" i="37"/>
  <c r="E510" i="37"/>
  <c r="E490" i="37"/>
  <c r="E450" i="37"/>
  <c r="E280" i="37"/>
  <c r="E429" i="37"/>
  <c r="E547" i="37"/>
  <c r="E516" i="37"/>
  <c r="E545" i="37"/>
  <c r="E564" i="37"/>
  <c r="E244" i="37"/>
  <c r="E1195" i="37"/>
  <c r="E1115" i="37"/>
  <c r="E1035" i="37"/>
  <c r="E955" i="37"/>
  <c r="E875" i="37"/>
  <c r="E795" i="37"/>
  <c r="E1194" i="37"/>
  <c r="E1114" i="37"/>
  <c r="E1034" i="37"/>
  <c r="E954" i="37"/>
  <c r="E874" i="37"/>
  <c r="E794" i="37"/>
  <c r="E1193" i="37"/>
  <c r="E1113" i="37"/>
  <c r="E1033" i="37"/>
  <c r="E953" i="37"/>
  <c r="E873" i="37"/>
  <c r="E793" i="37"/>
  <c r="E642" i="37"/>
  <c r="E602" i="37"/>
  <c r="E562" i="37"/>
  <c r="E522" i="37"/>
  <c r="E482" i="37"/>
  <c r="E442" i="37"/>
  <c r="E402" i="37"/>
  <c r="E362" i="37"/>
  <c r="E322" i="37"/>
  <c r="E282" i="37"/>
  <c r="E242" i="37"/>
  <c r="E202" i="37"/>
  <c r="E581" i="37"/>
  <c r="E271" i="37"/>
  <c r="E630" i="37"/>
  <c r="E550" i="37"/>
  <c r="E380" i="37"/>
  <c r="E360" i="37"/>
  <c r="E320" i="37"/>
  <c r="E230" i="37"/>
  <c r="E469" i="37"/>
  <c r="E358" i="37"/>
  <c r="E597" i="37"/>
  <c r="E277" i="37"/>
  <c r="E566" i="37"/>
  <c r="E595" i="37"/>
  <c r="E632" i="37"/>
  <c r="E552" i="37"/>
  <c r="E472" i="37"/>
  <c r="E392" i="37"/>
  <c r="E312" i="37"/>
  <c r="E232" i="37"/>
  <c r="E182" i="37"/>
  <c r="E511" i="37"/>
  <c r="E461" i="37"/>
  <c r="E191" i="37"/>
  <c r="E620" i="37"/>
  <c r="E330" i="37"/>
  <c r="E310" i="37"/>
  <c r="E200" i="37"/>
  <c r="E639" i="37"/>
  <c r="E569" i="37"/>
  <c r="E549" i="37"/>
  <c r="E359" i="37"/>
  <c r="E239" i="37"/>
  <c r="E488" i="37"/>
  <c r="E468" i="37"/>
  <c r="E428" i="37"/>
  <c r="E328" i="37"/>
  <c r="E377" i="37"/>
  <c r="E357" i="37"/>
  <c r="E167" i="37"/>
  <c r="E485" i="37"/>
  <c r="E102" i="37"/>
  <c r="E582" i="37"/>
  <c r="E502" i="37"/>
  <c r="E422" i="37"/>
  <c r="E342" i="37"/>
  <c r="E262" i="37"/>
  <c r="E212" i="37"/>
  <c r="E611" i="37"/>
  <c r="E561" i="37"/>
  <c r="E441" i="37"/>
  <c r="E391" i="37"/>
  <c r="E341" i="37"/>
  <c r="E291" i="37"/>
  <c r="E241" i="37"/>
  <c r="E600" i="37"/>
  <c r="E520" i="37"/>
  <c r="E470" i="37"/>
  <c r="E420" i="37"/>
  <c r="E400" i="37"/>
  <c r="E270" i="37"/>
  <c r="E509" i="37"/>
  <c r="E279" i="37"/>
  <c r="E638" i="37"/>
  <c r="E408" i="37"/>
  <c r="E388" i="37"/>
  <c r="E188" i="37"/>
  <c r="E517" i="37"/>
  <c r="E247" i="37"/>
  <c r="E456" i="37"/>
  <c r="E436" i="37"/>
  <c r="E346" i="37"/>
  <c r="E326" i="37"/>
  <c r="E286" i="37"/>
  <c r="E133" i="37"/>
  <c r="E592" i="37"/>
  <c r="E512" i="37"/>
  <c r="E432" i="37"/>
  <c r="E352" i="37"/>
  <c r="E272" i="37"/>
  <c r="E222" i="37"/>
  <c r="E621" i="37"/>
  <c r="E351" i="37"/>
  <c r="E301" i="37"/>
  <c r="E480" i="37"/>
  <c r="E430" i="37"/>
  <c r="E190" i="37"/>
  <c r="E329" i="37"/>
  <c r="E309" i="37"/>
  <c r="E269" i="37"/>
  <c r="E518" i="37"/>
  <c r="E248" i="37"/>
  <c r="E507" i="37"/>
  <c r="E427" i="37"/>
  <c r="E586" i="37"/>
  <c r="E406" i="37"/>
  <c r="E454" i="37"/>
  <c r="E543" i="37"/>
  <c r="E140" i="37"/>
  <c r="E119" i="37"/>
  <c r="E111" i="37"/>
  <c r="E622" i="37"/>
  <c r="E542" i="37"/>
  <c r="E462" i="37"/>
  <c r="E382" i="37"/>
  <c r="E302" i="37"/>
  <c r="E172" i="37"/>
  <c r="E601" i="37"/>
  <c r="E551" i="37"/>
  <c r="E501" i="37"/>
  <c r="E451" i="37"/>
  <c r="E401" i="37"/>
  <c r="E281" i="37"/>
  <c r="E231" i="37"/>
  <c r="E181" i="37"/>
  <c r="E610" i="37"/>
  <c r="E530" i="37"/>
  <c r="E410" i="37"/>
  <c r="E390" i="37"/>
  <c r="E300" i="37"/>
  <c r="E170" i="37"/>
  <c r="E629" i="37"/>
  <c r="E519" i="37"/>
  <c r="E479" i="37"/>
  <c r="E249" i="37"/>
  <c r="E229" i="37"/>
  <c r="E189" i="37"/>
  <c r="E438" i="37"/>
  <c r="E378" i="37"/>
  <c r="E338" i="37"/>
  <c r="E487" i="37"/>
  <c r="E467" i="37"/>
  <c r="E407" i="37"/>
  <c r="E387" i="37"/>
  <c r="E297" i="37"/>
  <c r="E536" i="37"/>
  <c r="E295" i="37"/>
  <c r="E275" i="37"/>
  <c r="E255" i="37"/>
  <c r="E253" i="37"/>
  <c r="E571" i="37"/>
  <c r="E491" i="37"/>
  <c r="E411" i="37"/>
  <c r="E331" i="37"/>
  <c r="E251" i="37"/>
  <c r="E171" i="37"/>
  <c r="E570" i="37"/>
  <c r="E540" i="37"/>
  <c r="E460" i="37"/>
  <c r="E220" i="37"/>
  <c r="E539" i="37"/>
  <c r="E379" i="37"/>
  <c r="E219" i="37"/>
  <c r="E538" i="37"/>
  <c r="E318" i="37"/>
  <c r="E218" i="37"/>
  <c r="E198" i="37"/>
  <c r="E617" i="37"/>
  <c r="E227" i="37"/>
  <c r="E386" i="37"/>
  <c r="E176" i="37"/>
  <c r="E333" i="37"/>
  <c r="E117" i="37"/>
  <c r="E99" i="37"/>
  <c r="E131" i="37"/>
  <c r="E124" i="37"/>
  <c r="E459" i="37"/>
  <c r="E299" i="37"/>
  <c r="E618" i="37"/>
  <c r="E458" i="37"/>
  <c r="E308" i="37"/>
  <c r="E268" i="37"/>
  <c r="E567" i="37"/>
  <c r="E217" i="37"/>
  <c r="E506" i="37"/>
  <c r="E376" i="37"/>
  <c r="E575" i="37"/>
  <c r="E385" i="37"/>
  <c r="E374" i="37"/>
  <c r="E194" i="37"/>
  <c r="E483" i="37"/>
  <c r="E463" i="37"/>
  <c r="E163" i="37"/>
  <c r="E136" i="37"/>
  <c r="E126" i="37"/>
  <c r="E113" i="37"/>
  <c r="E197" i="37"/>
  <c r="E356" i="37"/>
  <c r="E225" i="37"/>
  <c r="E624" i="37"/>
  <c r="E494" i="37"/>
  <c r="E434" i="37"/>
  <c r="E414" i="37"/>
  <c r="E142" i="37"/>
  <c r="E135" i="37"/>
  <c r="E118" i="37"/>
  <c r="E106" i="37"/>
  <c r="E101" i="37"/>
  <c r="E340" i="37"/>
  <c r="E260" i="37"/>
  <c r="E180" i="37"/>
  <c r="E579" i="37"/>
  <c r="E499" i="37"/>
  <c r="E419" i="37"/>
  <c r="E339" i="37"/>
  <c r="E259" i="37"/>
  <c r="E179" i="37"/>
  <c r="E578" i="37"/>
  <c r="E498" i="37"/>
  <c r="E418" i="37"/>
  <c r="E298" i="37"/>
  <c r="E168" i="37"/>
  <c r="E627" i="37"/>
  <c r="E587" i="37"/>
  <c r="E457" i="37"/>
  <c r="E327" i="37"/>
  <c r="E307" i="37"/>
  <c r="E267" i="37"/>
  <c r="E616" i="37"/>
  <c r="E486" i="37"/>
  <c r="E466" i="37"/>
  <c r="E426" i="37"/>
  <c r="E166" i="37"/>
  <c r="E535" i="37"/>
  <c r="E514" i="37"/>
  <c r="E324" i="37"/>
  <c r="E613" i="37"/>
  <c r="E403" i="37"/>
  <c r="E383" i="37"/>
  <c r="E213" i="37"/>
  <c r="E127" i="37"/>
  <c r="E115" i="37"/>
  <c r="E108" i="37"/>
  <c r="E370" i="37"/>
  <c r="E290" i="37"/>
  <c r="E210" i="37"/>
  <c r="E609" i="37"/>
  <c r="E529" i="37"/>
  <c r="E449" i="37"/>
  <c r="E369" i="37"/>
  <c r="E289" i="37"/>
  <c r="E209" i="37"/>
  <c r="E608" i="37"/>
  <c r="E528" i="37"/>
  <c r="E448" i="37"/>
  <c r="E398" i="37"/>
  <c r="E348" i="37"/>
  <c r="E278" i="37"/>
  <c r="E437" i="37"/>
  <c r="E596" i="37"/>
  <c r="E246" i="37"/>
  <c r="E226" i="37"/>
  <c r="E206" i="37"/>
  <c r="E384" i="37"/>
  <c r="E304" i="37"/>
  <c r="E174" i="37"/>
  <c r="E593" i="37"/>
  <c r="E573" i="37"/>
  <c r="E129" i="37"/>
  <c r="E120" i="37"/>
  <c r="E110" i="37"/>
  <c r="E103" i="37"/>
  <c r="E258" i="37"/>
  <c r="E178" i="37"/>
  <c r="E577" i="37"/>
  <c r="E497" i="37"/>
  <c r="E417" i="37"/>
  <c r="E337" i="37"/>
  <c r="E257" i="37"/>
  <c r="E177" i="37"/>
  <c r="E576" i="37"/>
  <c r="E496" i="37"/>
  <c r="E416" i="37"/>
  <c r="E336" i="37"/>
  <c r="E515" i="37"/>
  <c r="E495" i="37"/>
  <c r="E455" i="37"/>
  <c r="E325" i="37"/>
  <c r="E195" i="37"/>
  <c r="E175" i="37"/>
  <c r="E614" i="37"/>
  <c r="E484" i="37"/>
  <c r="E354" i="37"/>
  <c r="E334" i="37"/>
  <c r="E294" i="37"/>
  <c r="E164" i="37"/>
  <c r="E513" i="37"/>
  <c r="E493" i="37"/>
  <c r="E453" i="37"/>
  <c r="E323" i="37"/>
  <c r="E193" i="37"/>
  <c r="E173" i="37"/>
  <c r="E137" i="37"/>
  <c r="E128" i="37"/>
  <c r="E121" i="37"/>
  <c r="E112" i="37"/>
  <c r="E105" i="37"/>
  <c r="E96" i="37"/>
  <c r="E368" i="37"/>
  <c r="E288" i="37"/>
  <c r="E208" i="37"/>
  <c r="E607" i="37"/>
  <c r="E527" i="37"/>
  <c r="E447" i="37"/>
  <c r="E367" i="37"/>
  <c r="E287" i="37"/>
  <c r="E207" i="37"/>
  <c r="E606" i="37"/>
  <c r="E526" i="37"/>
  <c r="E446" i="37"/>
  <c r="E366" i="37"/>
  <c r="E276" i="37"/>
  <c r="E305" i="37"/>
  <c r="E464" i="37"/>
  <c r="E623" i="37"/>
  <c r="E303" i="37"/>
  <c r="E139" i="37"/>
  <c r="E130" i="37"/>
  <c r="E123" i="37"/>
  <c r="E114" i="37"/>
  <c r="E107" i="37"/>
  <c r="E98" i="37"/>
  <c r="E238" i="37"/>
  <c r="E637" i="37"/>
  <c r="E557" i="37"/>
  <c r="E477" i="37"/>
  <c r="E397" i="37"/>
  <c r="E317" i="37"/>
  <c r="E237" i="37"/>
  <c r="E157" i="37"/>
  <c r="E636" i="37"/>
  <c r="E556" i="37"/>
  <c r="E476" i="37"/>
  <c r="E396" i="37"/>
  <c r="E256" i="37"/>
  <c r="E565" i="37"/>
  <c r="E435" i="37"/>
  <c r="E415" i="37"/>
  <c r="E375" i="37"/>
  <c r="E245" i="37"/>
  <c r="E594" i="37"/>
  <c r="E574" i="37"/>
  <c r="E534" i="37"/>
  <c r="E404" i="37"/>
  <c r="E274" i="37"/>
  <c r="E254" i="37"/>
  <c r="E214" i="37"/>
  <c r="E563" i="37"/>
  <c r="E433" i="37"/>
  <c r="E413" i="37"/>
  <c r="E373" i="37"/>
  <c r="E243" i="37"/>
  <c r="E141" i="37"/>
  <c r="E132" i="37"/>
  <c r="E125" i="37"/>
  <c r="E116" i="37"/>
  <c r="E109" i="37"/>
  <c r="E100" i="37"/>
  <c r="E316" i="37"/>
  <c r="E236" i="37"/>
  <c r="E156" i="37"/>
  <c r="E525" i="37"/>
  <c r="E445" i="37"/>
  <c r="E365" i="37"/>
  <c r="E285" i="37"/>
  <c r="E205" i="37"/>
  <c r="E604" i="37"/>
  <c r="E524" i="37"/>
  <c r="E444" i="37"/>
  <c r="E364" i="37"/>
  <c r="E284" i="37"/>
  <c r="E204" i="37"/>
  <c r="E603" i="37"/>
  <c r="E523" i="37"/>
  <c r="E443" i="37"/>
  <c r="E363" i="37"/>
  <c r="E283" i="37"/>
  <c r="E203" i="37"/>
  <c r="E266" i="37"/>
  <c r="E186" i="37"/>
  <c r="E555" i="37"/>
  <c r="E475" i="37"/>
  <c r="E395" i="37"/>
  <c r="E315" i="37"/>
  <c r="E235" i="37"/>
  <c r="E155" i="37"/>
  <c r="E634" i="37"/>
  <c r="E554" i="37"/>
  <c r="E474" i="37"/>
  <c r="E394" i="37"/>
  <c r="E314" i="37"/>
  <c r="E234" i="37"/>
  <c r="E154" i="37"/>
  <c r="E633" i="37"/>
  <c r="E553" i="37"/>
  <c r="E473" i="37"/>
  <c r="E393" i="37"/>
  <c r="E313" i="37"/>
  <c r="E233" i="37"/>
  <c r="E153" i="37"/>
  <c r="E296" i="37"/>
  <c r="E216" i="37"/>
  <c r="E615" i="37"/>
  <c r="E505" i="37"/>
  <c r="E425" i="37"/>
  <c r="E345" i="37"/>
  <c r="E265" i="37"/>
  <c r="E185" i="37"/>
  <c r="E584" i="37"/>
  <c r="E504" i="37"/>
  <c r="E424" i="37"/>
  <c r="E344" i="37"/>
  <c r="E264" i="37"/>
  <c r="E184" i="37"/>
  <c r="E583" i="37"/>
  <c r="E503" i="37"/>
  <c r="E423" i="37"/>
  <c r="E343" i="37"/>
  <c r="E263" i="37"/>
  <c r="E183" i="37"/>
  <c r="E646" i="37" l="1"/>
  <c r="E659" i="37"/>
  <c r="E648" i="37"/>
  <c r="E653" i="37"/>
  <c r="E650" i="37"/>
  <c r="E657" i="37"/>
  <c r="E605" i="37"/>
  <c r="E647" i="37"/>
  <c r="E658" i="37"/>
  <c r="E656" i="37"/>
  <c r="E654" i="37"/>
  <c r="E655" i="37"/>
  <c r="E625" i="37"/>
  <c r="D661" i="37"/>
  <c r="E660" i="37"/>
  <c r="E652" i="37"/>
  <c r="E645" i="37"/>
  <c r="E651" i="37"/>
  <c r="D662" i="37" l="1"/>
  <c r="E661" i="37"/>
  <c r="D663" i="37" l="1"/>
  <c r="E662" i="37"/>
  <c r="D664" i="37" l="1"/>
  <c r="E663" i="37"/>
  <c r="D665" i="37" l="1"/>
  <c r="E664" i="37"/>
  <c r="E665" i="37" l="1"/>
  <c r="D666" i="37"/>
  <c r="D667" i="37" l="1"/>
  <c r="E666" i="37"/>
  <c r="D668" i="37" l="1"/>
  <c r="E667" i="37"/>
  <c r="D669" i="37" l="1"/>
  <c r="E668" i="37"/>
  <c r="D670" i="37" l="1"/>
  <c r="E669" i="37"/>
  <c r="D671" i="37" l="1"/>
  <c r="E670" i="37"/>
  <c r="D672" i="37" l="1"/>
  <c r="E671" i="37"/>
  <c r="D673" i="37" l="1"/>
  <c r="E672" i="37"/>
  <c r="D674" i="37" l="1"/>
  <c r="E673" i="37"/>
  <c r="D675" i="37" l="1"/>
  <c r="E674" i="37"/>
  <c r="D676" i="37" l="1"/>
  <c r="E675" i="37"/>
  <c r="D677" i="37" l="1"/>
  <c r="E676" i="37"/>
  <c r="E677" i="37" l="1"/>
  <c r="D678" i="37"/>
  <c r="D679" i="37" l="1"/>
  <c r="E678" i="37"/>
  <c r="D680" i="37" l="1"/>
  <c r="E679" i="37"/>
  <c r="D681" i="37" l="1"/>
  <c r="E680" i="37"/>
  <c r="D682" i="37" l="1"/>
  <c r="E681" i="37"/>
  <c r="D683" i="37" l="1"/>
  <c r="E682" i="37"/>
  <c r="D684" i="37" l="1"/>
  <c r="E683" i="37"/>
  <c r="D685" i="37" l="1"/>
  <c r="E684" i="37"/>
  <c r="D686" i="37" l="1"/>
  <c r="E685" i="37"/>
  <c r="D687" i="37" l="1"/>
  <c r="E686" i="37"/>
  <c r="D688" i="37" l="1"/>
  <c r="E687" i="37"/>
  <c r="D689" i="37" l="1"/>
  <c r="E688" i="37"/>
  <c r="E689" i="37" l="1"/>
  <c r="D690" i="37"/>
  <c r="D691" i="37" l="1"/>
  <c r="E690" i="37"/>
  <c r="D692" i="37" l="1"/>
  <c r="E692" i="37" s="1"/>
  <c r="E691" i="37"/>
</calcChain>
</file>

<file path=xl/sharedStrings.xml><?xml version="1.0" encoding="utf-8"?>
<sst xmlns="http://schemas.openxmlformats.org/spreadsheetml/2006/main" count="2406" uniqueCount="201">
  <si>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</si>
  <si>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</si>
  <si>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</si>
  <si>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</si>
  <si>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</si>
  <si>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</si>
  <si>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</si>
  <si>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</si>
  <si>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</si>
  <si>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</si>
  <si>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</si>
  <si>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</si>
  <si>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</si>
  <si>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</si>
  <si>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</si>
  <si>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</si>
  <si>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</si>
  <si>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</si>
  <si>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</si>
  <si>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</si>
  <si>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</si>
  <si>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</si>
  <si>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</si>
  <si>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</si>
  <si>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</si>
  <si>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</si>
  <si>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</si>
  <si>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</si>
  <si>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</si>
  <si>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</si>
  <si>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</si>
  <si>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</si>
  <si>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</si>
  <si>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</si>
  <si>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</si>
  <si>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</si>
  <si>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</si>
  <si>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</si>
  <si>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</si>
  <si>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</si>
  <si>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</si>
  <si>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</si>
  <si>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</si>
  <si>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</si>
  <si>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</si>
  <si>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</si>
  <si>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</si>
  <si>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</si>
  <si>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</si>
  <si>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</si>
  <si>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</si>
  <si>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</si>
  <si>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</si>
  <si>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</si>
  <si>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</si>
  <si>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</si>
  <si>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</si>
  <si>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</si>
  <si>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</si>
  <si>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</si>
  <si>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</si>
  <si>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</si>
  <si>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</si>
  <si>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</si>
  <si>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</si>
  <si>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</si>
  <si>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</si>
  <si>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</si>
  <si>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</si>
  <si>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</si>
  <si>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</si>
  <si>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</si>
  <si>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</si>
  <si>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</si>
  <si>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</si>
  <si>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</si>
  <si>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</si>
  <si>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</si>
  <si>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</si>
  <si>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</si>
  <si>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</si>
  <si>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</si>
  <si>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</si>
  <si>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</si>
  <si>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</si>
  <si>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</si>
  <si>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</si>
  <si>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</si>
  <si>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</si>
  <si>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</si>
  <si>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</si>
  <si>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</si>
  <si>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</si>
  <si>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</si>
  <si>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</si>
  <si>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</si>
  <si>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</si>
  <si>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</si>
  <si>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</si>
  <si>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</si>
  <si>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</si>
  <si>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</si>
  <si>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</si>
  <si>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</si>
  <si>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</si>
  <si>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</si>
  <si>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</si>
  <si>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</si>
  <si>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</si>
  <si>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</si>
  <si>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</si>
  <si>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</si>
  <si>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</si>
  <si>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</si>
  <si>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</si>
  <si>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</si>
  <si>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</si>
  <si>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</si>
  <si>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</si>
  <si>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</si>
  <si>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</si>
  <si>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</si>
  <si>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</si>
  <si>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</si>
  <si>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</si>
  <si>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Nor(m,s)</t>
  </si>
  <si>
    <t>Exp(m)</t>
  </si>
  <si>
    <t>Uni(a,b)</t>
  </si>
  <si>
    <t>Dis(i)</t>
  </si>
  <si>
    <t>ScenVar(i)</t>
  </si>
  <si>
    <t>ChDist(i)</t>
  </si>
  <si>
    <t>Cus(i)</t>
  </si>
  <si>
    <t>Choices for WS#OutputObjs</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</si>
  <si>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</si>
  <si>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</si>
  <si>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</si>
  <si>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</si>
  <si>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</si>
  <si>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</si>
  <si>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</si>
  <si>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</si>
  <si>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</si>
  <si>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</si>
  <si>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</si>
  <si>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</si>
  <si>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</si>
  <si>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</si>
  <si>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</si>
  <si>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</si>
  <si>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</si>
  <si>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</si>
  <si>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</si>
  <si>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CS1</t>
  </si>
  <si>
    <t>CS2</t>
  </si>
  <si>
    <t>CS3</t>
  </si>
  <si>
    <t>Simulation(s) completed!</t>
  </si>
  <si>
    <t>Work Station</t>
  </si>
  <si>
    <t>Door</t>
  </si>
  <si>
    <t>SC</t>
  </si>
  <si>
    <t>Entrances:</t>
  </si>
  <si>
    <t>Work Stations:</t>
  </si>
  <si>
    <t>Buffers:</t>
  </si>
  <si>
    <t xml:space="preserve"> Col. num. to graph:</t>
  </si>
  <si>
    <t>Col. num.</t>
  </si>
  <si>
    <t>Teller 1</t>
  </si>
  <si>
    <t>Teller 2</t>
  </si>
  <si>
    <t>Nor(2,.5)</t>
  </si>
  <si>
    <t>Decision Point</t>
  </si>
  <si>
    <t>Nor(1,.1)</t>
  </si>
  <si>
    <t>Exits:</t>
  </si>
  <si>
    <t>Decision Points:</t>
  </si>
  <si>
    <t>Raw Materials</t>
  </si>
  <si>
    <t>Production</t>
  </si>
  <si>
    <t>Finished Goods</t>
  </si>
  <si>
    <t>Rework Line for Defective Goods</t>
  </si>
  <si>
    <t>Rework</t>
  </si>
  <si>
    <t>Reworked Goods</t>
  </si>
  <si>
    <t>Quality Inspection</t>
  </si>
  <si>
    <t>Simulation Numbers</t>
  </si>
  <si>
    <t>Overall</t>
  </si>
  <si>
    <t>Means</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</si>
  <si>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</si>
  <si>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</si>
  <si>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</si>
  <si>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</si>
  <si>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</si>
  <si>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</si>
  <si>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</si>
  <si>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</si>
  <si>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</si>
  <si>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</si>
  <si>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</si>
  <si>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</si>
  <si>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</si>
  <si>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</si>
  <si>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</si>
  <si>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Decision Point(s)</t>
  </si>
  <si>
    <t>Working</t>
  </si>
  <si>
    <t>Not Working</t>
  </si>
  <si>
    <t>Infinite</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</si>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</sst>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1"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
      <sz val="11"/>
      <color rgb="FF006100"/>
      <name val="Calibri"/>
      <family val="2"/>
      <scheme val="minor"/>
    </font>
  </fonts>
  <fills count="15">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rgb="FFC0C0C0"/>
        <bgColor indexed="64"/>
      </patternFill>
    </fill>
    <fill>
      <patternFill patternType="solid">
        <fgColor theme="4" tint="0.39994506668294322"/>
        <bgColor indexed="64"/>
      </patternFill>
    </fill>
    <fill>
      <patternFill patternType="solid">
        <fgColor rgb="FFC6EFCE"/>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s>
  <cellStyleXfs count="2">
    <xf numFmtId="0" fontId="0" fillId="0" borderId="0"/>
    <xf numFmtId="0" fontId="20" fillId="14" borderId="0" applyNumberFormat="0" applyBorder="0" applyAlignment="0" applyProtection="0"/>
  </cellStyleXfs>
  <cellXfs count="197">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11" xfId="0" applyFont="1" applyBorder="1"/>
    <xf numFmtId="0" fontId="5" fillId="11" borderId="1" xfId="0" applyFont="1" applyFill="1" applyBorder="1"/>
    <xf numFmtId="0" fontId="0" fillId="0" borderId="9" xfId="0"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applyBorder="1"/>
    <xf numFmtId="164" fontId="0" fillId="0" borderId="0" xfId="0" applyNumberFormat="1"/>
    <xf numFmtId="0" fontId="2" fillId="0" borderId="9" xfId="0" applyFont="1" applyFill="1" applyBorder="1" applyAlignment="1">
      <alignment horizontal="center"/>
    </xf>
    <xf numFmtId="0" fontId="0" fillId="12" borderId="0" xfId="0" applyFill="1"/>
    <xf numFmtId="0" fontId="5" fillId="13" borderId="1" xfId="0" applyFont="1" applyFill="1" applyBorder="1"/>
    <xf numFmtId="0" fontId="0" fillId="13" borderId="2" xfId="0" applyFill="1" applyBorder="1"/>
    <xf numFmtId="0" fontId="0" fillId="13" borderId="3" xfId="0" applyFill="1" applyBorder="1"/>
    <xf numFmtId="0" fontId="0" fillId="13" borderId="10" xfId="0" applyFill="1" applyBorder="1"/>
    <xf numFmtId="0" fontId="0" fillId="13" borderId="0" xfId="0" applyFill="1" applyBorder="1"/>
    <xf numFmtId="0" fontId="0" fillId="13" borderId="11" xfId="0" applyFill="1" applyBorder="1"/>
    <xf numFmtId="0" fontId="0" fillId="13" borderId="18" xfId="0" applyFill="1" applyBorder="1"/>
    <xf numFmtId="0" fontId="0" fillId="13" borderId="19" xfId="0" applyFill="1" applyBorder="1"/>
    <xf numFmtId="0" fontId="0" fillId="13" borderId="20" xfId="0" applyFill="1" applyBorder="1"/>
    <xf numFmtId="0" fontId="0" fillId="13" borderId="4" xfId="0" applyFill="1" applyBorder="1"/>
    <xf numFmtId="0" fontId="0" fillId="13" borderId="5" xfId="0" applyFill="1" applyBorder="1"/>
    <xf numFmtId="0" fontId="0" fillId="13" borderId="6" xfId="0" applyFill="1" applyBorder="1"/>
    <xf numFmtId="0" fontId="0" fillId="13" borderId="21" xfId="0" applyFill="1" applyBorder="1"/>
    <xf numFmtId="0" fontId="0" fillId="13" borderId="22" xfId="0" applyFill="1" applyBorder="1"/>
    <xf numFmtId="0" fontId="0" fillId="13" borderId="23" xfId="0" applyFill="1" applyBorder="1"/>
    <xf numFmtId="0" fontId="1" fillId="0" borderId="0" xfId="0" applyFont="1"/>
    <xf numFmtId="2" fontId="0" fillId="0" borderId="0" xfId="0" applyNumberFormat="1"/>
    <xf numFmtId="0" fontId="2" fillId="0" borderId="14" xfId="0" applyFont="1" applyFill="1" applyBorder="1" applyAlignment="1">
      <alignment horizontal="center"/>
    </xf>
    <xf numFmtId="0" fontId="0" fillId="0" borderId="4" xfId="0" applyFill="1" applyBorder="1" applyAlignment="1">
      <alignment horizontal="center"/>
    </xf>
    <xf numFmtId="0" fontId="5" fillId="0" borderId="6" xfId="0" applyFont="1" applyBorder="1" applyAlignment="1">
      <alignment horizontal="right"/>
    </xf>
    <xf numFmtId="2" fontId="0" fillId="0" borderId="0" xfId="0" applyNumberFormat="1" applyAlignment="1">
      <alignment horizontal="right"/>
    </xf>
    <xf numFmtId="0" fontId="5" fillId="0" borderId="10" xfId="0" applyFont="1" applyFill="1" applyBorder="1"/>
    <xf numFmtId="0" fontId="0" fillId="0" borderId="10" xfId="0" applyFill="1" applyBorder="1"/>
    <xf numFmtId="2" fontId="0" fillId="0" borderId="10" xfId="0" applyNumberFormat="1" applyFill="1" applyBorder="1"/>
    <xf numFmtId="2" fontId="0" fillId="0" borderId="10" xfId="0" applyNumberFormat="1" applyFill="1" applyBorder="1" applyAlignment="1">
      <alignment horizontal="right"/>
    </xf>
    <xf numFmtId="0" fontId="0" fillId="0" borderId="1" xfId="0" applyFill="1" applyBorder="1"/>
    <xf numFmtId="0" fontId="0" fillId="0" borderId="2" xfId="0" applyFill="1" applyBorder="1"/>
    <xf numFmtId="0" fontId="0" fillId="0" borderId="0" xfId="0" applyAlignment="1">
      <alignment horizontal="right"/>
    </xf>
    <xf numFmtId="0" fontId="20" fillId="14" borderId="0" xfId="1"/>
    <xf numFmtId="0" fontId="20" fillId="14" borderId="11" xfId="1" applyBorder="1" applyAlignment="1">
      <alignment horizontal="center"/>
    </xf>
  </cellXfs>
  <cellStyles count="2">
    <cellStyle name="Good" xfId="1" builtinId="26"/>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A$44" lockText="1"/>
</file>

<file path=xl/ctrlProps/ctrlProp14.xml><?xml version="1.0" encoding="utf-8"?>
<formControlPr xmlns="http://schemas.microsoft.com/office/spreadsheetml/2009/9/main" objectType="Radio" checked="Checked"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24</xdr:row>
          <xdr:rowOff>47625</xdr:rowOff>
        </xdr:from>
        <xdr:to>
          <xdr:col>10</xdr:col>
          <xdr:colOff>266700</xdr:colOff>
          <xdr:row>25</xdr:row>
          <xdr:rowOff>85725</xdr:rowOff>
        </xdr:to>
        <xdr:sp macro="" textlink="">
          <xdr:nvSpPr>
            <xdr:cNvPr id="15389" name="Option Button 29" hidden="1">
              <a:extLst>
                <a:ext uri="{63B3BB69-23CF-44E3-9099-C40C66FF867C}">
                  <a14:compatExt spid="_x0000_s153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25</xdr:row>
          <xdr:rowOff>161925</xdr:rowOff>
        </xdr:from>
        <xdr:to>
          <xdr:col>9</xdr:col>
          <xdr:colOff>276225</xdr:colOff>
          <xdr:row>27</xdr:row>
          <xdr:rowOff>66675</xdr:rowOff>
        </xdr:to>
        <xdr:sp macro="" textlink="">
          <xdr:nvSpPr>
            <xdr:cNvPr id="15390" name="Option Button 30" hidden="1">
              <a:extLst>
                <a:ext uri="{63B3BB69-23CF-44E3-9099-C40C66FF867C}">
                  <a14:compatExt spid="_x0000_s153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95250</xdr:rowOff>
        </xdr:from>
        <xdr:to>
          <xdr:col>10</xdr:col>
          <xdr:colOff>361950</xdr:colOff>
          <xdr:row>28</xdr:row>
          <xdr:rowOff>0</xdr:rowOff>
        </xdr:to>
        <xdr:sp macro="" textlink="">
          <xdr:nvSpPr>
            <xdr:cNvPr id="15391" name="Group Box 31" hidden="1">
              <a:extLst>
                <a:ext uri="{63B3BB69-23CF-44E3-9099-C40C66FF867C}">
                  <a14:compatExt spid="_x0000_s1539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Calculate sample  st. dev.</a:t>
              </a:r>
            </a:p>
          </xdr:txBody>
        </xdr:sp>
        <xdr:clientData/>
      </xdr:twoCellAnchor>
    </mc:Choice>
    <mc:Fallback/>
  </mc:AlternateContent>
  <xdr:twoCellAnchor>
    <xdr:from>
      <xdr:col>11</xdr:col>
      <xdr:colOff>38099</xdr:colOff>
      <xdr:row>22</xdr:row>
      <xdr:rowOff>142875</xdr:rowOff>
    </xdr:from>
    <xdr:to>
      <xdr:col>14</xdr:col>
      <xdr:colOff>542924</xdr:colOff>
      <xdr:row>28</xdr:row>
      <xdr:rowOff>95250</xdr:rowOff>
    </xdr:to>
    <xdr:sp macro="" textlink="">
      <xdr:nvSpPr>
        <xdr:cNvPr id="2" name="TextBox 1"/>
        <xdr:cNvSpPr txBox="1"/>
      </xdr:nvSpPr>
      <xdr:spPr>
        <a:xfrm>
          <a:off x="6743699" y="387667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4"/>
  <sheetViews>
    <sheetView zoomScaleNormal="100" workbookViewId="0">
      <selection activeCell="I35" sqref="I35"/>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0" t="s">
        <v>123</v>
      </c>
      <c r="C4" s="135"/>
      <c r="D4" s="135"/>
      <c r="E4" s="135"/>
      <c r="F4" s="136"/>
      <c r="G4" s="167" t="s">
        <v>124</v>
      </c>
      <c r="H4" s="168"/>
      <c r="I4" s="168"/>
      <c r="J4" s="168"/>
      <c r="K4" s="169"/>
      <c r="L4" s="3"/>
      <c r="M4" s="3"/>
    </row>
    <row r="5" spans="1:13" x14ac:dyDescent="0.2">
      <c r="A5" s="3"/>
      <c r="B5" s="137"/>
      <c r="C5" s="138"/>
      <c r="D5" s="138"/>
      <c r="E5" s="138"/>
      <c r="F5" s="139"/>
      <c r="G5" s="170"/>
      <c r="H5" s="171"/>
      <c r="I5" s="171"/>
      <c r="J5" s="171"/>
      <c r="K5" s="172"/>
      <c r="L5" s="3"/>
      <c r="M5" s="3"/>
    </row>
    <row r="6" spans="1:13" x14ac:dyDescent="0.2">
      <c r="A6" s="3"/>
      <c r="B6" s="137"/>
      <c r="C6" s="138"/>
      <c r="D6" s="138"/>
      <c r="E6" s="138"/>
      <c r="F6" s="139"/>
      <c r="G6" s="170"/>
      <c r="H6" s="171"/>
      <c r="I6" s="171"/>
      <c r="J6" s="171"/>
      <c r="K6" s="172"/>
      <c r="L6" s="3"/>
      <c r="M6" s="3"/>
    </row>
    <row r="7" spans="1:13" x14ac:dyDescent="0.2">
      <c r="A7" s="3"/>
      <c r="B7" s="137"/>
      <c r="C7" s="138"/>
      <c r="D7" s="138"/>
      <c r="E7" s="138"/>
      <c r="F7" s="139"/>
      <c r="G7" s="170"/>
      <c r="H7" s="171"/>
      <c r="I7" s="171"/>
      <c r="J7" s="171"/>
      <c r="K7" s="172"/>
      <c r="L7" s="3"/>
      <c r="M7" s="3"/>
    </row>
    <row r="8" spans="1:13" x14ac:dyDescent="0.2">
      <c r="A8" s="3"/>
      <c r="B8" s="137"/>
      <c r="C8" s="138"/>
      <c r="D8" s="138"/>
      <c r="E8" s="138"/>
      <c r="F8" s="139"/>
      <c r="G8" s="170"/>
      <c r="H8" s="171"/>
      <c r="I8" s="171"/>
      <c r="J8" s="171"/>
      <c r="K8" s="172"/>
      <c r="L8" s="3"/>
      <c r="M8" s="3"/>
    </row>
    <row r="9" spans="1:13" x14ac:dyDescent="0.2">
      <c r="A9" s="3"/>
      <c r="B9" s="137"/>
      <c r="C9" s="138"/>
      <c r="D9" s="138"/>
      <c r="E9" s="138"/>
      <c r="F9" s="139"/>
      <c r="G9" s="170"/>
      <c r="H9" s="171"/>
      <c r="I9" s="171"/>
      <c r="J9" s="171"/>
      <c r="K9" s="172"/>
      <c r="L9" s="3"/>
      <c r="M9" s="3"/>
    </row>
    <row r="10" spans="1:13" ht="13.5" thickBot="1" x14ac:dyDescent="0.25">
      <c r="A10" s="3"/>
      <c r="B10" s="137"/>
      <c r="C10" s="138"/>
      <c r="D10" s="138"/>
      <c r="E10" s="138"/>
      <c r="F10" s="139"/>
      <c r="G10" s="170"/>
      <c r="H10" s="171"/>
      <c r="I10" s="171"/>
      <c r="J10" s="171"/>
      <c r="K10" s="172"/>
      <c r="L10" s="3"/>
      <c r="M10" s="3"/>
    </row>
    <row r="11" spans="1:13" ht="13.5" thickBot="1" x14ac:dyDescent="0.25">
      <c r="A11" s="3"/>
      <c r="B11" s="137"/>
      <c r="C11" s="138"/>
      <c r="D11" s="138"/>
      <c r="E11" s="138"/>
      <c r="F11" s="139"/>
      <c r="G11" s="170"/>
      <c r="H11" s="171"/>
      <c r="I11" s="144">
        <v>50</v>
      </c>
      <c r="J11" s="171"/>
      <c r="K11" s="172"/>
      <c r="L11" s="3"/>
      <c r="M11" s="3"/>
    </row>
    <row r="12" spans="1:13" x14ac:dyDescent="0.2">
      <c r="A12" s="3"/>
      <c r="B12" s="137"/>
      <c r="C12" s="138"/>
      <c r="D12" s="138"/>
      <c r="E12" s="138"/>
      <c r="F12" s="139"/>
      <c r="G12" s="170"/>
      <c r="H12" s="171"/>
      <c r="I12" s="171"/>
      <c r="J12" s="171"/>
      <c r="K12" s="172"/>
      <c r="L12" s="3"/>
      <c r="M12" s="3"/>
    </row>
    <row r="13" spans="1:13" x14ac:dyDescent="0.2">
      <c r="A13" s="3"/>
      <c r="B13" s="137"/>
      <c r="C13" s="138"/>
      <c r="D13" s="138"/>
      <c r="E13" s="138"/>
      <c r="F13" s="139"/>
      <c r="G13" s="170"/>
      <c r="H13" s="171"/>
      <c r="I13" s="171"/>
      <c r="J13" s="171"/>
      <c r="K13" s="172"/>
      <c r="L13" s="3"/>
      <c r="M13" s="3"/>
    </row>
    <row r="14" spans="1:13" ht="13.5" thickBot="1" x14ac:dyDescent="0.25">
      <c r="A14" s="3"/>
      <c r="B14" s="137"/>
      <c r="C14" s="138"/>
      <c r="D14" s="138"/>
      <c r="E14" s="138"/>
      <c r="F14" s="139"/>
      <c r="G14" s="173"/>
      <c r="H14" s="174"/>
      <c r="I14" s="174"/>
      <c r="J14" s="174"/>
      <c r="K14" s="175"/>
      <c r="L14" s="3"/>
      <c r="M14" s="3"/>
    </row>
    <row r="15" spans="1:13" x14ac:dyDescent="0.2">
      <c r="A15" s="3"/>
      <c r="B15" s="137"/>
      <c r="C15" s="138"/>
      <c r="D15" s="138"/>
      <c r="E15" s="138"/>
      <c r="F15" s="139"/>
      <c r="G15" s="170"/>
      <c r="H15" s="171"/>
      <c r="I15" s="171"/>
      <c r="J15" s="171"/>
      <c r="K15" s="172"/>
      <c r="L15" s="3"/>
      <c r="M15" s="3"/>
    </row>
    <row r="16" spans="1:13" x14ac:dyDescent="0.2">
      <c r="A16" s="3"/>
      <c r="B16" s="137"/>
      <c r="C16" s="138"/>
      <c r="D16" s="138"/>
      <c r="E16" s="138"/>
      <c r="F16" s="139"/>
      <c r="G16" s="170"/>
      <c r="H16" s="171"/>
      <c r="I16" s="171"/>
      <c r="J16" s="171"/>
      <c r="K16" s="172"/>
      <c r="L16" s="3"/>
      <c r="M16" s="3"/>
    </row>
    <row r="17" spans="1:13" x14ac:dyDescent="0.2">
      <c r="A17" s="3"/>
      <c r="B17" s="137"/>
      <c r="C17" s="138"/>
      <c r="D17" s="138"/>
      <c r="E17" s="138"/>
      <c r="F17" s="139"/>
      <c r="G17" s="170"/>
      <c r="H17" s="171"/>
      <c r="I17" s="171"/>
      <c r="J17" s="171"/>
      <c r="K17" s="172"/>
      <c r="L17" s="3"/>
      <c r="M17" s="3"/>
    </row>
    <row r="18" spans="1:13" x14ac:dyDescent="0.2">
      <c r="A18" s="3"/>
      <c r="B18" s="137"/>
      <c r="C18" s="138"/>
      <c r="D18" s="138"/>
      <c r="E18" s="138"/>
      <c r="F18" s="139"/>
      <c r="G18" s="170"/>
      <c r="H18" s="171"/>
      <c r="I18" s="171"/>
      <c r="J18" s="171"/>
      <c r="K18" s="172"/>
      <c r="L18" s="3"/>
      <c r="M18" s="3"/>
    </row>
    <row r="19" spans="1:13" ht="13.5" thickBot="1" x14ac:dyDescent="0.25">
      <c r="A19" s="3"/>
      <c r="B19" s="137"/>
      <c r="C19" s="143"/>
      <c r="D19" s="138"/>
      <c r="E19" s="138"/>
      <c r="F19" s="139"/>
      <c r="G19" s="170"/>
      <c r="H19" s="171"/>
      <c r="I19" s="171"/>
      <c r="J19" s="171"/>
      <c r="K19" s="172"/>
      <c r="L19" s="3"/>
      <c r="M19" s="3"/>
    </row>
    <row r="20" spans="1:13" ht="13.5" thickBot="1" x14ac:dyDescent="0.25">
      <c r="A20" s="3"/>
      <c r="B20" s="137"/>
      <c r="C20" s="143"/>
      <c r="D20" s="144"/>
      <c r="E20" s="138"/>
      <c r="F20" s="139"/>
      <c r="G20" s="170"/>
      <c r="H20" s="171"/>
      <c r="I20" s="171"/>
      <c r="J20" s="171"/>
      <c r="K20" s="172"/>
      <c r="L20" s="3"/>
      <c r="M20" s="3"/>
    </row>
    <row r="21" spans="1:13" x14ac:dyDescent="0.2">
      <c r="A21" s="3"/>
      <c r="B21" s="137"/>
      <c r="C21" s="138"/>
      <c r="D21" s="138"/>
      <c r="E21" s="138"/>
      <c r="F21" s="139"/>
      <c r="G21" s="170"/>
      <c r="H21" s="171"/>
      <c r="I21" s="171"/>
      <c r="J21" s="171"/>
      <c r="K21" s="172"/>
      <c r="L21" s="3"/>
      <c r="M21" s="3"/>
    </row>
    <row r="22" spans="1:13" ht="13.5" thickBot="1" x14ac:dyDescent="0.25">
      <c r="A22" s="3"/>
      <c r="B22" s="137"/>
      <c r="C22" s="138"/>
      <c r="D22" s="138"/>
      <c r="E22" s="138"/>
      <c r="F22" s="139"/>
      <c r="G22" s="170"/>
      <c r="H22" s="171"/>
      <c r="I22" s="171"/>
      <c r="J22" s="171"/>
      <c r="K22" s="172"/>
      <c r="L22" s="3"/>
      <c r="M22" s="3"/>
    </row>
    <row r="23" spans="1:13" x14ac:dyDescent="0.2">
      <c r="A23" s="3"/>
      <c r="B23" s="137"/>
      <c r="C23" s="138"/>
      <c r="D23" s="138"/>
      <c r="E23" s="138"/>
      <c r="F23" s="139"/>
      <c r="G23" s="179"/>
      <c r="H23" s="180"/>
      <c r="I23" s="180"/>
      <c r="J23" s="180"/>
      <c r="K23" s="181"/>
      <c r="L23" s="3"/>
      <c r="M23" s="3"/>
    </row>
    <row r="24" spans="1:13" x14ac:dyDescent="0.2">
      <c r="A24" s="3"/>
      <c r="B24" s="137"/>
      <c r="C24" s="138"/>
      <c r="D24" s="138"/>
      <c r="E24" s="138"/>
      <c r="F24" s="139"/>
      <c r="G24" s="170"/>
      <c r="H24" s="171"/>
      <c r="I24" s="171"/>
      <c r="J24" s="171"/>
      <c r="K24" s="172"/>
      <c r="L24" s="3"/>
      <c r="M24" s="3"/>
    </row>
    <row r="25" spans="1:13" x14ac:dyDescent="0.2">
      <c r="A25" s="3"/>
      <c r="B25" s="137"/>
      <c r="C25" s="138"/>
      <c r="D25" s="138"/>
      <c r="E25" s="138"/>
      <c r="F25" s="139"/>
      <c r="G25" s="170"/>
      <c r="H25" s="171"/>
      <c r="I25" s="171"/>
      <c r="J25" s="171"/>
      <c r="K25" s="172"/>
      <c r="L25" s="3"/>
      <c r="M25" s="3"/>
    </row>
    <row r="26" spans="1:13" ht="13.5" thickBot="1" x14ac:dyDescent="0.25">
      <c r="A26" s="3"/>
      <c r="B26" s="140"/>
      <c r="C26" s="141"/>
      <c r="D26" s="141"/>
      <c r="E26" s="141"/>
      <c r="F26" s="142"/>
      <c r="G26" s="170"/>
      <c r="H26" s="171"/>
      <c r="I26" s="171"/>
      <c r="J26" s="171"/>
      <c r="K26" s="172"/>
      <c r="L26" s="3"/>
      <c r="M26" s="3"/>
    </row>
    <row r="27" spans="1:13" x14ac:dyDescent="0.2">
      <c r="A27" s="3"/>
      <c r="B27" s="3"/>
      <c r="C27" s="3"/>
      <c r="D27" s="3"/>
      <c r="E27" s="3"/>
      <c r="F27" s="3"/>
      <c r="G27" s="170"/>
      <c r="H27" s="171"/>
      <c r="I27" s="171"/>
      <c r="J27" s="171"/>
      <c r="K27" s="172"/>
      <c r="L27" s="3"/>
      <c r="M27" s="3"/>
    </row>
    <row r="28" spans="1:13" x14ac:dyDescent="0.2">
      <c r="A28" s="3"/>
      <c r="B28" s="3"/>
      <c r="C28" s="3"/>
      <c r="D28" s="3"/>
      <c r="E28" s="3"/>
      <c r="F28" s="3"/>
      <c r="G28" s="170"/>
      <c r="H28" s="171"/>
      <c r="I28" s="171"/>
      <c r="J28" s="171"/>
      <c r="K28" s="172"/>
      <c r="L28" s="3"/>
      <c r="M28" s="3"/>
    </row>
    <row r="29" spans="1:13" x14ac:dyDescent="0.2">
      <c r="A29" s="166"/>
      <c r="B29" s="166"/>
      <c r="C29" s="166"/>
      <c r="D29" s="166"/>
      <c r="E29" s="166"/>
      <c r="F29" s="166"/>
      <c r="G29" s="170"/>
      <c r="H29" s="171"/>
      <c r="I29" s="171"/>
      <c r="J29" s="171"/>
      <c r="K29" s="172"/>
      <c r="L29" s="166"/>
      <c r="M29" s="166"/>
    </row>
    <row r="30" spans="1:13" ht="13.5" thickBot="1" x14ac:dyDescent="0.25">
      <c r="A30" s="166"/>
      <c r="B30" s="166"/>
      <c r="C30" s="166"/>
      <c r="D30" s="166"/>
      <c r="E30" s="166"/>
      <c r="F30" s="166"/>
      <c r="G30" s="176"/>
      <c r="H30" s="177"/>
      <c r="I30" s="177"/>
      <c r="J30" s="177"/>
      <c r="K30" s="178"/>
      <c r="L30" s="166"/>
      <c r="M30" s="166"/>
    </row>
    <row r="31" spans="1:13" x14ac:dyDescent="0.2">
      <c r="A31" s="166"/>
      <c r="B31" s="166"/>
      <c r="C31" s="166"/>
      <c r="D31" s="166"/>
      <c r="E31" s="166"/>
      <c r="F31" s="166"/>
      <c r="G31" s="166"/>
      <c r="H31" s="166"/>
      <c r="I31" s="166"/>
      <c r="J31" s="166"/>
      <c r="K31" s="166"/>
      <c r="L31" s="166"/>
      <c r="M31" s="166"/>
    </row>
    <row r="32" spans="1:13" x14ac:dyDescent="0.2">
      <c r="A32" s="166"/>
      <c r="B32" s="166"/>
      <c r="C32" s="166"/>
      <c r="D32" s="166"/>
      <c r="E32" s="166"/>
      <c r="F32" s="166"/>
      <c r="G32" s="166"/>
      <c r="H32" s="166"/>
      <c r="I32" s="166"/>
      <c r="J32" s="166"/>
      <c r="K32" s="166"/>
      <c r="L32" s="166"/>
      <c r="M32" s="166"/>
    </row>
    <row r="43" spans="1:1" x14ac:dyDescent="0.2">
      <c r="A43">
        <v>1</v>
      </c>
    </row>
    <row r="44" spans="1:1" x14ac:dyDescent="0.2">
      <c r="A44">
        <v>2</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mc:AlternateContent xmlns:mc="http://schemas.openxmlformats.org/markup-compatibility/2006">
          <mc:Choice Requires="x14">
            <control shapeId="15389" r:id="rId16" name="Option Button 29">
              <controlPr defaultSize="0" autoFill="0" autoLine="0" autoPict="0">
                <anchor moveWithCells="1">
                  <from>
                    <xdr:col>7</xdr:col>
                    <xdr:colOff>104775</xdr:colOff>
                    <xdr:row>24</xdr:row>
                    <xdr:rowOff>47625</xdr:rowOff>
                  </from>
                  <to>
                    <xdr:col>10</xdr:col>
                    <xdr:colOff>266700</xdr:colOff>
                    <xdr:row>25</xdr:row>
                    <xdr:rowOff>85725</xdr:rowOff>
                  </to>
                </anchor>
              </controlPr>
            </control>
          </mc:Choice>
        </mc:AlternateContent>
        <mc:AlternateContent xmlns:mc="http://schemas.openxmlformats.org/markup-compatibility/2006">
          <mc:Choice Requires="x14">
            <control shapeId="15390" r:id="rId17" name="Option Button 30">
              <controlPr defaultSize="0" autoFill="0" autoLine="0" autoPict="0">
                <anchor moveWithCells="1">
                  <from>
                    <xdr:col>7</xdr:col>
                    <xdr:colOff>104775</xdr:colOff>
                    <xdr:row>25</xdr:row>
                    <xdr:rowOff>161925</xdr:rowOff>
                  </from>
                  <to>
                    <xdr:col>9</xdr:col>
                    <xdr:colOff>276225</xdr:colOff>
                    <xdr:row>27</xdr:row>
                    <xdr:rowOff>66675</xdr:rowOff>
                  </to>
                </anchor>
              </controlPr>
            </control>
          </mc:Choice>
        </mc:AlternateContent>
        <mc:AlternateContent xmlns:mc="http://schemas.openxmlformats.org/markup-compatibility/2006">
          <mc:Choice Requires="x14">
            <control shapeId="15391" r:id="rId18" name="Group Box 31">
              <controlPr defaultSize="0" autoFill="0" autoPict="0">
                <anchor moveWithCells="1">
                  <from>
                    <xdr:col>6</xdr:col>
                    <xdr:colOff>514350</xdr:colOff>
                    <xdr:row>23</xdr:row>
                    <xdr:rowOff>95250</xdr:rowOff>
                  </from>
                  <to>
                    <xdr:col>10</xdr:col>
                    <xdr:colOff>361950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E1" sqref="E1"/>
    </sheetView>
  </sheetViews>
  <sheetFormatPr defaultColWidth="9.140625" defaultRowHeight="12.75" x14ac:dyDescent="0.2"/>
  <cols>
    <col min="1" max="1" width="8.28515625" style="89" customWidth="1"/>
    <col min="2" max="2" width="28.7109375" style="89" bestFit="1" customWidth="1"/>
    <col min="3" max="3" width="14.42578125" style="89" bestFit="1" customWidth="1"/>
    <col min="4" max="4" width="9.42578125" style="89" bestFit="1" customWidth="1"/>
    <col min="5" max="5" width="1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55" t="s">
        <v>133</v>
      </c>
      <c r="C6" s="18">
        <v>120</v>
      </c>
      <c r="D6"/>
      <c r="E6"/>
      <c r="F6"/>
      <c r="G6"/>
      <c r="H6"/>
      <c r="I6"/>
      <c r="J6"/>
    </row>
    <row r="7" spans="1:10" ht="13.5" thickBot="1" x14ac:dyDescent="0.25">
      <c r="A7"/>
      <c r="B7" s="155" t="s">
        <v>134</v>
      </c>
      <c r="C7" s="18">
        <v>5</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82" t="s">
        <v>159</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56" t="s">
        <v>135</v>
      </c>
      <c r="C13" s="124" t="s">
        <v>157</v>
      </c>
      <c r="D13"/>
      <c r="E13"/>
      <c r="F13"/>
      <c r="G13"/>
      <c r="H13"/>
      <c r="I13"/>
      <c r="J13"/>
    </row>
    <row r="14" spans="1:10" x14ac:dyDescent="0.2">
      <c r="A14"/>
      <c r="B14" s="157" t="s">
        <v>136</v>
      </c>
      <c r="C14" s="116" t="s">
        <v>31</v>
      </c>
      <c r="D14"/>
      <c r="E14"/>
      <c r="F14"/>
      <c r="G14"/>
      <c r="H14"/>
      <c r="I14"/>
      <c r="J14"/>
    </row>
    <row r="15" spans="1:10" ht="13.5" thickBot="1" x14ac:dyDescent="0.25">
      <c r="A15"/>
      <c r="B15" s="158" t="s">
        <v>137</v>
      </c>
      <c r="C15" s="116">
        <v>1</v>
      </c>
      <c r="D15"/>
      <c r="E15"/>
      <c r="F15"/>
      <c r="G15"/>
      <c r="H15"/>
      <c r="I15"/>
      <c r="J15"/>
    </row>
    <row r="16" spans="1:10" x14ac:dyDescent="0.2">
      <c r="A16"/>
      <c r="B16" s="39" t="s">
        <v>10</v>
      </c>
      <c r="C16" s="40"/>
      <c r="D16"/>
      <c r="E16"/>
      <c r="F16"/>
      <c r="G16"/>
      <c r="H16"/>
      <c r="I16"/>
      <c r="J16"/>
    </row>
    <row r="17" spans="1:10" ht="13.5" thickBot="1" x14ac:dyDescent="0.25">
      <c r="A17"/>
      <c r="B17" s="146" t="s">
        <v>138</v>
      </c>
      <c r="C17" s="42"/>
      <c r="D17"/>
      <c r="E17"/>
      <c r="F17"/>
      <c r="G17"/>
      <c r="H17"/>
      <c r="I17"/>
      <c r="J17"/>
    </row>
    <row r="18" spans="1:10" x14ac:dyDescent="0.2">
      <c r="A18"/>
      <c r="B18" s="108" t="s">
        <v>78</v>
      </c>
      <c r="C18" s="74"/>
      <c r="D18"/>
      <c r="E18"/>
      <c r="F18"/>
      <c r="G18"/>
      <c r="H18"/>
      <c r="I18"/>
      <c r="J18"/>
    </row>
    <row r="19" spans="1:10" ht="13.5" thickBot="1" x14ac:dyDescent="0.25">
      <c r="A19"/>
      <c r="B19" s="184"/>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82" t="s">
        <v>169</v>
      </c>
      <c r="C22"/>
      <c r="D22"/>
      <c r="E22"/>
      <c r="F22"/>
      <c r="G22"/>
      <c r="H22"/>
      <c r="I22"/>
      <c r="J22"/>
    </row>
    <row r="23" spans="1:10" x14ac:dyDescent="0.2">
      <c r="A23"/>
      <c r="B23"/>
      <c r="C23"/>
      <c r="D23"/>
      <c r="E23"/>
      <c r="F23"/>
      <c r="G23"/>
      <c r="H23"/>
      <c r="I23"/>
      <c r="J23"/>
    </row>
    <row r="24" spans="1:10" ht="13.5" thickBot="1" x14ac:dyDescent="0.25">
      <c r="A24"/>
      <c r="B24" s="33">
        <v>1</v>
      </c>
      <c r="C24" s="33"/>
      <c r="D24"/>
      <c r="E24"/>
      <c r="F24"/>
      <c r="G24"/>
      <c r="H24"/>
      <c r="I24"/>
      <c r="J24"/>
    </row>
    <row r="25" spans="1:10" ht="18.75" x14ac:dyDescent="0.3">
      <c r="A25"/>
      <c r="B25" s="118" t="s">
        <v>135</v>
      </c>
      <c r="C25" s="104" t="s">
        <v>10</v>
      </c>
      <c r="D25"/>
      <c r="E25"/>
      <c r="F25"/>
      <c r="G25"/>
      <c r="H25"/>
      <c r="I25"/>
      <c r="J25"/>
    </row>
    <row r="26" spans="1:10" x14ac:dyDescent="0.2">
      <c r="A26"/>
      <c r="B26" s="119" t="s">
        <v>139</v>
      </c>
      <c r="C26" s="116" t="s">
        <v>168</v>
      </c>
      <c r="D26"/>
      <c r="E26"/>
      <c r="F26"/>
      <c r="G26"/>
      <c r="H26"/>
      <c r="I26"/>
      <c r="J26"/>
    </row>
    <row r="27" spans="1:10" ht="13.5" thickBot="1" x14ac:dyDescent="0.25">
      <c r="A27"/>
      <c r="B27" s="120" t="s">
        <v>140</v>
      </c>
      <c r="C27" s="121">
        <v>1</v>
      </c>
      <c r="D27"/>
      <c r="E27"/>
      <c r="F27"/>
      <c r="G27"/>
      <c r="H27"/>
      <c r="I27"/>
      <c r="J27"/>
    </row>
    <row r="28" spans="1:10" x14ac:dyDescent="0.2">
      <c r="A28"/>
      <c r="B28"/>
      <c r="C28"/>
      <c r="D28"/>
      <c r="E28"/>
      <c r="F28"/>
      <c r="G28"/>
      <c r="H28"/>
      <c r="I28"/>
      <c r="J28"/>
    </row>
    <row r="29" spans="1:10" x14ac:dyDescent="0.2">
      <c r="A29"/>
      <c r="B29"/>
      <c r="C29"/>
      <c r="D29"/>
      <c r="E29"/>
      <c r="F29"/>
      <c r="G29"/>
      <c r="H29"/>
      <c r="I29"/>
      <c r="J29"/>
    </row>
    <row r="30" spans="1:10" x14ac:dyDescent="0.2">
      <c r="A30"/>
      <c r="B30" s="182" t="s">
        <v>160</v>
      </c>
      <c r="C30"/>
      <c r="D30"/>
      <c r="E30"/>
      <c r="F30"/>
      <c r="G30"/>
      <c r="H30"/>
      <c r="I30"/>
      <c r="J30"/>
    </row>
    <row r="31" spans="1:10" x14ac:dyDescent="0.2">
      <c r="A31"/>
      <c r="B31"/>
      <c r="C31"/>
      <c r="D31"/>
      <c r="E31"/>
      <c r="F31"/>
      <c r="G31"/>
      <c r="H31"/>
      <c r="I31"/>
      <c r="J31"/>
    </row>
    <row r="32" spans="1:10" ht="13.5" thickBot="1" x14ac:dyDescent="0.25">
      <c r="A32"/>
      <c r="B32" s="42"/>
      <c r="C32" s="48">
        <v>1</v>
      </c>
      <c r="D32" s="48"/>
      <c r="E32" s="33"/>
      <c r="F32"/>
      <c r="G32"/>
      <c r="H32"/>
      <c r="I32"/>
      <c r="J32"/>
    </row>
    <row r="33" spans="1:10" ht="18.75" x14ac:dyDescent="0.3">
      <c r="A33"/>
      <c r="B33" s="49"/>
      <c r="C33" s="118" t="s">
        <v>135</v>
      </c>
      <c r="D33" s="104" t="s">
        <v>164</v>
      </c>
      <c r="E33" s="42"/>
      <c r="F33"/>
      <c r="G33"/>
      <c r="H33"/>
      <c r="I33"/>
      <c r="J33"/>
    </row>
    <row r="34" spans="1:10" ht="13.5" thickBot="1" x14ac:dyDescent="0.25">
      <c r="A34"/>
      <c r="B34" s="42"/>
      <c r="C34" s="159" t="s">
        <v>141</v>
      </c>
      <c r="D34" s="116" t="s">
        <v>166</v>
      </c>
      <c r="E34" s="42"/>
      <c r="F34"/>
      <c r="G34"/>
      <c r="H34"/>
      <c r="I34"/>
      <c r="J34"/>
    </row>
    <row r="35" spans="1:10" x14ac:dyDescent="0.2">
      <c r="A35"/>
      <c r="B35" s="39" t="s">
        <v>10</v>
      </c>
      <c r="C35" s="6" t="s">
        <v>17</v>
      </c>
      <c r="D35" s="152" t="s">
        <v>18</v>
      </c>
      <c r="E35" s="39" t="s">
        <v>18</v>
      </c>
      <c r="F35"/>
      <c r="G35"/>
      <c r="H35"/>
      <c r="I35"/>
      <c r="J35"/>
    </row>
    <row r="36" spans="1:10" ht="13.5" thickBot="1" x14ac:dyDescent="0.25">
      <c r="A36"/>
      <c r="B36" s="146" t="s">
        <v>138</v>
      </c>
      <c r="C36" s="160" t="s">
        <v>142</v>
      </c>
      <c r="D36" s="161" t="s">
        <v>143</v>
      </c>
      <c r="E36" s="146" t="s">
        <v>144</v>
      </c>
      <c r="F36"/>
      <c r="G36"/>
      <c r="H36"/>
      <c r="I36"/>
      <c r="J36"/>
    </row>
    <row r="37" spans="1:10" x14ac:dyDescent="0.2">
      <c r="A37"/>
      <c r="B37" s="107" t="s">
        <v>158</v>
      </c>
      <c r="C37" s="104">
        <v>1</v>
      </c>
      <c r="D37" s="54"/>
      <c r="E37" s="53"/>
      <c r="F37"/>
      <c r="G37"/>
      <c r="H37"/>
      <c r="I37"/>
      <c r="J37"/>
    </row>
    <row r="38" spans="1:10" ht="13.5" thickBot="1" x14ac:dyDescent="0.25">
      <c r="A38"/>
      <c r="B38" s="184"/>
      <c r="C38" s="60"/>
      <c r="D38" s="185"/>
      <c r="E38" s="60"/>
      <c r="F38"/>
      <c r="G38"/>
      <c r="H38"/>
      <c r="I38"/>
      <c r="J38"/>
    </row>
    <row r="39" spans="1:10" x14ac:dyDescent="0.2">
      <c r="A39"/>
      <c r="B39"/>
      <c r="C39"/>
      <c r="D39"/>
      <c r="E39"/>
      <c r="F39"/>
      <c r="G39"/>
      <c r="H39"/>
      <c r="I39"/>
      <c r="J39"/>
    </row>
    <row r="40" spans="1:10" ht="13.5" thickBot="1" x14ac:dyDescent="0.25">
      <c r="A40"/>
      <c r="B40" s="48"/>
      <c r="C40" s="48">
        <v>2</v>
      </c>
      <c r="D40" s="48"/>
      <c r="E40" s="33"/>
      <c r="F40"/>
      <c r="G40"/>
      <c r="H40"/>
      <c r="I40"/>
      <c r="J40"/>
    </row>
    <row r="41" spans="1:10" ht="18.75" x14ac:dyDescent="0.3">
      <c r="A41"/>
      <c r="B41" s="49"/>
      <c r="C41" s="118" t="s">
        <v>135</v>
      </c>
      <c r="D41" s="104" t="s">
        <v>165</v>
      </c>
      <c r="E41" s="42"/>
      <c r="F41"/>
      <c r="G41"/>
      <c r="H41"/>
      <c r="I41"/>
      <c r="J41"/>
    </row>
    <row r="42" spans="1:10" ht="13.5" thickBot="1" x14ac:dyDescent="0.25">
      <c r="A42"/>
      <c r="B42" s="42"/>
      <c r="C42" s="159" t="s">
        <v>141</v>
      </c>
      <c r="D42" s="116" t="s">
        <v>166</v>
      </c>
      <c r="E42" s="42"/>
      <c r="F42"/>
      <c r="G42"/>
      <c r="H42"/>
      <c r="I42"/>
      <c r="J42"/>
    </row>
    <row r="43" spans="1:10" x14ac:dyDescent="0.2">
      <c r="A43"/>
      <c r="B43" s="39" t="s">
        <v>10</v>
      </c>
      <c r="C43" s="6" t="s">
        <v>17</v>
      </c>
      <c r="D43" s="152" t="s">
        <v>18</v>
      </c>
      <c r="E43" s="39" t="s">
        <v>18</v>
      </c>
      <c r="F43"/>
      <c r="G43"/>
      <c r="H43"/>
      <c r="I43"/>
      <c r="J43"/>
    </row>
    <row r="44" spans="1:10" ht="13.5" thickBot="1" x14ac:dyDescent="0.25">
      <c r="A44"/>
      <c r="B44" s="146" t="s">
        <v>138</v>
      </c>
      <c r="C44" s="160" t="s">
        <v>142</v>
      </c>
      <c r="D44" s="161" t="s">
        <v>143</v>
      </c>
      <c r="E44" s="146" t="s">
        <v>144</v>
      </c>
      <c r="F44"/>
      <c r="G44"/>
      <c r="H44"/>
      <c r="I44"/>
      <c r="J44"/>
    </row>
    <row r="45" spans="1:10" x14ac:dyDescent="0.2">
      <c r="A45"/>
      <c r="B45" s="107" t="s">
        <v>158</v>
      </c>
      <c r="C45" s="104">
        <v>1</v>
      </c>
      <c r="D45" s="54"/>
      <c r="E45" s="53"/>
      <c r="F45"/>
      <c r="G45"/>
      <c r="H45"/>
      <c r="I45"/>
      <c r="J45"/>
    </row>
    <row r="46" spans="1:10" ht="13.5" thickBot="1" x14ac:dyDescent="0.25">
      <c r="A46"/>
      <c r="B46" s="184"/>
      <c r="C46" s="60"/>
      <c r="D46" s="185"/>
      <c r="E46" s="60"/>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s="182" t="s">
        <v>161</v>
      </c>
      <c r="C49"/>
      <c r="D49"/>
      <c r="E49"/>
      <c r="F49"/>
      <c r="G49"/>
      <c r="H49"/>
      <c r="I49"/>
      <c r="J49"/>
    </row>
    <row r="50" spans="1:10" x14ac:dyDescent="0.2">
      <c r="A50"/>
      <c r="B50"/>
      <c r="C50"/>
      <c r="D50"/>
      <c r="E50"/>
      <c r="F50"/>
      <c r="G50"/>
      <c r="H50"/>
      <c r="I50"/>
      <c r="J50"/>
    </row>
    <row r="51" spans="1:10" ht="13.5" thickBot="1" x14ac:dyDescent="0.25">
      <c r="A51"/>
      <c r="B51" s="33">
        <v>1</v>
      </c>
      <c r="C51" s="33"/>
      <c r="D51"/>
      <c r="E51"/>
      <c r="F51"/>
      <c r="G51"/>
      <c r="H51"/>
      <c r="I51"/>
      <c r="J51"/>
    </row>
    <row r="52" spans="1:10" ht="18.75" x14ac:dyDescent="0.3">
      <c r="A52"/>
      <c r="B52" s="118" t="s">
        <v>135</v>
      </c>
      <c r="C52" s="104" t="s">
        <v>158</v>
      </c>
      <c r="D52"/>
      <c r="E52"/>
      <c r="F52"/>
      <c r="G52"/>
      <c r="H52"/>
      <c r="I52"/>
      <c r="J52"/>
    </row>
    <row r="53" spans="1:10" x14ac:dyDescent="0.2">
      <c r="A53"/>
      <c r="B53" s="159" t="s">
        <v>145</v>
      </c>
      <c r="C53" s="116" t="s">
        <v>112</v>
      </c>
      <c r="D53"/>
      <c r="E53"/>
      <c r="F53"/>
      <c r="G53"/>
      <c r="H53"/>
      <c r="I53"/>
      <c r="J53"/>
    </row>
    <row r="54" spans="1:10" ht="13.5" thickBot="1" x14ac:dyDescent="0.25">
      <c r="A54"/>
      <c r="B54" s="146" t="s">
        <v>146</v>
      </c>
      <c r="C54" s="60">
        <v>0</v>
      </c>
      <c r="D54"/>
      <c r="E54"/>
      <c r="F54"/>
      <c r="G54"/>
      <c r="H54"/>
      <c r="I54"/>
      <c r="J54"/>
    </row>
    <row r="55" spans="1:10" x14ac:dyDescent="0.2">
      <c r="A55"/>
      <c r="B55" s="152" t="s">
        <v>10</v>
      </c>
      <c r="C55" s="39" t="s">
        <v>10</v>
      </c>
      <c r="D55"/>
      <c r="E55"/>
      <c r="F55"/>
      <c r="G55"/>
      <c r="H55"/>
      <c r="I55"/>
      <c r="J55"/>
    </row>
    <row r="56" spans="1:10" ht="13.5" thickBot="1" x14ac:dyDescent="0.25">
      <c r="A56"/>
      <c r="B56" s="161" t="s">
        <v>138</v>
      </c>
      <c r="C56" s="146" t="s">
        <v>147</v>
      </c>
      <c r="D56"/>
      <c r="E56"/>
      <c r="F56"/>
      <c r="G56"/>
      <c r="H56"/>
      <c r="I56"/>
      <c r="J56"/>
    </row>
    <row r="57" spans="1:10" x14ac:dyDescent="0.2">
      <c r="A57"/>
      <c r="B57" s="107" t="s">
        <v>10</v>
      </c>
      <c r="C57" s="104">
        <v>1</v>
      </c>
      <c r="D57"/>
      <c r="E57"/>
      <c r="F57"/>
      <c r="G57"/>
      <c r="H57"/>
      <c r="I57"/>
      <c r="J57"/>
    </row>
    <row r="58" spans="1:10" ht="13.5" thickBot="1" x14ac:dyDescent="0.25">
      <c r="A58"/>
      <c r="B58" s="108"/>
      <c r="C58" s="55"/>
      <c r="D58"/>
      <c r="E58"/>
      <c r="F58"/>
      <c r="G58"/>
      <c r="H58"/>
      <c r="I58"/>
      <c r="J58"/>
    </row>
    <row r="59" spans="1:10" ht="13.5" thickBot="1" x14ac:dyDescent="0.25">
      <c r="A59"/>
      <c r="B59" s="88" t="s">
        <v>148</v>
      </c>
      <c r="C59" s="165" t="s">
        <v>118</v>
      </c>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s="182" t="s">
        <v>170</v>
      </c>
      <c r="C62"/>
      <c r="D62"/>
      <c r="E62"/>
      <c r="F62"/>
      <c r="G62"/>
      <c r="H62"/>
      <c r="I62"/>
      <c r="J62"/>
    </row>
    <row r="63" spans="1:10" x14ac:dyDescent="0.2">
      <c r="A63"/>
      <c r="B63"/>
      <c r="C63"/>
      <c r="D63"/>
      <c r="E63"/>
      <c r="F63"/>
      <c r="G63"/>
      <c r="H63"/>
      <c r="I63"/>
      <c r="J63"/>
    </row>
    <row r="64" spans="1:10" ht="13.5" thickBot="1" x14ac:dyDescent="0.25">
      <c r="A64"/>
      <c r="B64" s="33">
        <v>1</v>
      </c>
      <c r="C64" s="33"/>
      <c r="D64"/>
      <c r="E64"/>
      <c r="F64"/>
      <c r="G64"/>
      <c r="H64"/>
      <c r="I64"/>
      <c r="J64"/>
    </row>
    <row r="65" spans="1:10" ht="19.5" thickBot="1" x14ac:dyDescent="0.35">
      <c r="A65"/>
      <c r="B65" s="118" t="s">
        <v>135</v>
      </c>
      <c r="C65" s="104" t="s">
        <v>78</v>
      </c>
      <c r="D65"/>
      <c r="E65"/>
      <c r="F65"/>
      <c r="G65"/>
      <c r="H65"/>
      <c r="I65"/>
      <c r="J65"/>
    </row>
    <row r="66" spans="1:10" x14ac:dyDescent="0.2">
      <c r="A66"/>
      <c r="B66" s="22" t="s">
        <v>10</v>
      </c>
      <c r="C66" s="39"/>
      <c r="D66"/>
      <c r="E66"/>
      <c r="F66"/>
      <c r="G66"/>
      <c r="H66"/>
      <c r="I66"/>
      <c r="J66"/>
    </row>
    <row r="67" spans="1:10" ht="13.5" thickBot="1" x14ac:dyDescent="0.25">
      <c r="A67"/>
      <c r="B67" s="161" t="s">
        <v>149</v>
      </c>
      <c r="C67" s="146" t="s">
        <v>150</v>
      </c>
      <c r="D67"/>
      <c r="E67"/>
      <c r="F67"/>
      <c r="G67"/>
      <c r="H67"/>
      <c r="I67"/>
      <c r="J67"/>
    </row>
    <row r="68" spans="1:10" x14ac:dyDescent="0.2">
      <c r="A68"/>
      <c r="B68" s="107" t="s">
        <v>164</v>
      </c>
      <c r="C68" s="104">
        <v>50</v>
      </c>
      <c r="D68"/>
      <c r="E68"/>
      <c r="F68"/>
      <c r="G68"/>
      <c r="H68"/>
      <c r="I68"/>
      <c r="J68"/>
    </row>
    <row r="69" spans="1:10" x14ac:dyDescent="0.2">
      <c r="A69"/>
      <c r="B69" s="108" t="s">
        <v>165</v>
      </c>
      <c r="C69" s="154">
        <v>50</v>
      </c>
      <c r="D69"/>
      <c r="E69"/>
      <c r="F69"/>
      <c r="G69"/>
      <c r="H69"/>
      <c r="I69"/>
      <c r="J69"/>
    </row>
    <row r="70" spans="1:10" ht="13.5" thickBot="1" x14ac:dyDescent="0.25">
      <c r="A70"/>
      <c r="B70" s="184"/>
      <c r="C70" s="6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11">
    <dataValidation type="list" allowBlank="1" sqref="C31 F14 C20 F20 F26 F31 C14 C26">
      <formula1>DistributionsEntsExits</formula1>
    </dataValidation>
    <dataValidation type="list" allowBlank="1" sqref="F32 F27 C21 F21 C15 F15 C27">
      <formula1>DistributionsEntsExitObjPerArrDep</formula1>
    </dataValidation>
    <dataValidation type="list" allowBlank="1" sqref="B83:B84 B57:B58 E19 B73 B110 B95 E83:E92 F47 F30 D41 B37:B38 F36 F74 D47 B89:B92 F52 B18:B19 C101 F101 C107 E104 B104 F57 B29:B30 C52 D33 E62:E64 C25:D25 C13 B45:B46 B62:B63 B68:B70 C65">
      <formula1>NameLabelRange</formula1>
    </dataValidation>
    <dataValidation type="list" allowBlank="1" sqref="C104 C110 F104 C95 C83:C84 C45:C46 F83:F92 F41:F42 C73 C37:C38 F62:F64 C89:C92 C29:C30 C57:C58 C62:C63 C68:C70">
      <formula1>WSNumOutputObjects</formula1>
    </dataValidation>
    <dataValidation type="list" allowBlank="1" sqref="D48 D26 D34 D42">
      <formula1>DistributionsWorkStations</formula1>
    </dataValidation>
    <dataValidation type="list" allowBlank="1" sqref="D68 D37:D38 D51 D29:D30 D45:D46">
      <formula1>Resources</formula1>
    </dataValidation>
    <dataValidation type="list" allowBlank="1" sqref="F48 F38 C76 F76 F54 F59 C54">
      <formula1>DistributionsBuffersInitialObjects</formula1>
    </dataValidation>
    <dataValidation type="list" allowBlank="1" sqref="C75 F75 F37 F53 F58 C53">
      <formula1>DistributionsBufferCap</formula1>
    </dataValidation>
    <dataValidation type="list" allowBlank="1" sqref="F43 C59">
      <formula1>BufferDetailsYesNo</formula1>
    </dataValidation>
    <dataValidation type="list" allowBlank="1" sqref="E18 F13 C86 C80 F25 F80">
      <formula1>NameLabelRange</formula1>
    </dataValidation>
    <dataValidation type="list" allowBlank="1" sqref="F65 C74">
      <formula1>BufferDetailsYesNo</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K2" sqref="K2:K3"/>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E16" sqref="E16"/>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151</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ht="15.75" x14ac:dyDescent="0.25">
      <c r="A7" s="3"/>
      <c r="B7" s="162"/>
      <c r="C7" s="163"/>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55" t="s">
        <v>133</v>
      </c>
      <c r="C15" s="16"/>
      <c r="D15" s="17"/>
      <c r="E15" s="18">
        <v>480</v>
      </c>
      <c r="F15" s="93"/>
      <c r="G15" s="94"/>
      <c r="H15" s="95"/>
      <c r="I15" s="3"/>
      <c r="J15" s="3"/>
      <c r="K15" s="3"/>
      <c r="L15" s="3"/>
      <c r="M15" s="3"/>
      <c r="N15" s="3"/>
    </row>
    <row r="16" spans="1:14" ht="13.5" thickBot="1" x14ac:dyDescent="0.25">
      <c r="A16" s="3"/>
      <c r="B16" s="155" t="s">
        <v>134</v>
      </c>
      <c r="C16" s="16"/>
      <c r="D16" s="17"/>
      <c r="E16" s="18">
        <v>50</v>
      </c>
      <c r="F16" s="96" t="s">
        <v>155</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56" t="s">
        <v>135</v>
      </c>
      <c r="C7" s="124"/>
      <c r="D7" s="3"/>
      <c r="E7" s="156" t="s">
        <v>135</v>
      </c>
      <c r="F7" s="124"/>
      <c r="G7" s="3"/>
      <c r="H7" s="156" t="s">
        <v>135</v>
      </c>
      <c r="I7" s="124"/>
      <c r="J7" s="3"/>
      <c r="K7" s="156" t="s">
        <v>135</v>
      </c>
      <c r="L7" s="104"/>
      <c r="M7" s="3"/>
      <c r="N7" s="156" t="s">
        <v>135</v>
      </c>
      <c r="O7" s="124"/>
      <c r="P7" s="3"/>
      <c r="Q7" s="156" t="s">
        <v>135</v>
      </c>
      <c r="R7" s="124"/>
      <c r="S7" s="3"/>
      <c r="T7" s="156" t="s">
        <v>135</v>
      </c>
      <c r="U7" s="124"/>
      <c r="V7" s="3"/>
      <c r="W7" s="156" t="s">
        <v>135</v>
      </c>
      <c r="X7" s="104"/>
      <c r="Y7" s="3"/>
      <c r="Z7" s="156" t="s">
        <v>135</v>
      </c>
      <c r="AA7" s="124"/>
      <c r="AB7" s="3"/>
      <c r="AC7" s="156" t="s">
        <v>135</v>
      </c>
      <c r="AD7" s="124"/>
      <c r="AE7" s="3"/>
      <c r="AF7" s="156" t="s">
        <v>135</v>
      </c>
      <c r="AG7" s="124"/>
      <c r="AH7" s="3"/>
      <c r="AI7" s="156" t="s">
        <v>135</v>
      </c>
      <c r="AJ7" s="104"/>
      <c r="AK7" s="3"/>
      <c r="AL7" s="156" t="s">
        <v>135</v>
      </c>
      <c r="AM7" s="124"/>
      <c r="AN7" s="3"/>
      <c r="AO7" s="156" t="s">
        <v>135</v>
      </c>
      <c r="AP7" s="124"/>
      <c r="AQ7" s="3"/>
      <c r="AR7" s="156" t="s">
        <v>135</v>
      </c>
      <c r="AS7" s="124"/>
      <c r="AT7" s="3"/>
      <c r="AU7" s="156" t="s">
        <v>135</v>
      </c>
      <c r="AV7" s="104"/>
      <c r="AW7" s="3"/>
      <c r="AX7" s="156" t="s">
        <v>135</v>
      </c>
      <c r="AY7" s="124"/>
      <c r="AZ7" s="3"/>
      <c r="BA7" s="156" t="s">
        <v>135</v>
      </c>
      <c r="BB7" s="124"/>
      <c r="BC7" s="3"/>
      <c r="BD7" s="156" t="s">
        <v>135</v>
      </c>
      <c r="BE7" s="124"/>
      <c r="BF7" s="3"/>
      <c r="BG7" s="156" t="s">
        <v>135</v>
      </c>
      <c r="BH7" s="104"/>
      <c r="BI7" s="3"/>
      <c r="BJ7" s="156" t="s">
        <v>135</v>
      </c>
      <c r="BK7" s="124"/>
      <c r="BL7" s="3"/>
      <c r="BM7" s="156" t="s">
        <v>135</v>
      </c>
      <c r="BN7" s="124"/>
      <c r="BO7" s="3"/>
      <c r="BP7" s="156" t="s">
        <v>135</v>
      </c>
      <c r="BQ7" s="124"/>
      <c r="BR7" s="3"/>
      <c r="BS7" s="156" t="s">
        <v>135</v>
      </c>
      <c r="BT7" s="104"/>
      <c r="BU7" s="3"/>
      <c r="BV7" s="156" t="s">
        <v>135</v>
      </c>
      <c r="BW7" s="124"/>
      <c r="BX7" s="3"/>
      <c r="BY7" s="156" t="s">
        <v>135</v>
      </c>
      <c r="BZ7" s="124"/>
      <c r="CA7" s="3"/>
      <c r="CB7" s="156" t="s">
        <v>135</v>
      </c>
      <c r="CC7" s="124"/>
      <c r="CD7" s="3"/>
      <c r="CE7" s="156" t="s">
        <v>135</v>
      </c>
      <c r="CF7" s="104"/>
      <c r="CG7" s="3"/>
      <c r="CH7" s="156" t="s">
        <v>135</v>
      </c>
      <c r="CI7" s="124"/>
      <c r="CJ7" s="3"/>
      <c r="CK7" s="156" t="s">
        <v>135</v>
      </c>
      <c r="CL7" s="124"/>
      <c r="CM7" s="3"/>
      <c r="CN7" s="156" t="s">
        <v>135</v>
      </c>
      <c r="CO7" s="124"/>
      <c r="CP7" s="3"/>
      <c r="CQ7" s="156" t="s">
        <v>135</v>
      </c>
      <c r="CR7" s="104"/>
      <c r="CS7" s="3"/>
      <c r="CT7" s="156" t="s">
        <v>135</v>
      </c>
      <c r="CU7" s="124"/>
      <c r="CV7" s="3"/>
      <c r="CW7" s="156" t="s">
        <v>135</v>
      </c>
      <c r="CX7" s="104"/>
      <c r="CY7" s="3"/>
      <c r="CZ7" s="156" t="s">
        <v>135</v>
      </c>
      <c r="DA7" s="124"/>
      <c r="DB7" s="3"/>
      <c r="DC7" s="156" t="s">
        <v>135</v>
      </c>
      <c r="DD7" s="124"/>
      <c r="DE7" s="3"/>
      <c r="DF7" s="156" t="s">
        <v>135</v>
      </c>
      <c r="DG7" s="124"/>
      <c r="DH7" s="3"/>
      <c r="DI7" s="156" t="s">
        <v>135</v>
      </c>
      <c r="DJ7" s="104"/>
      <c r="DK7" s="3"/>
      <c r="DL7" s="156" t="s">
        <v>135</v>
      </c>
      <c r="DM7" s="124"/>
      <c r="DN7" s="3"/>
      <c r="DO7" s="156" t="s">
        <v>135</v>
      </c>
      <c r="DP7" s="124"/>
      <c r="DQ7" s="3"/>
      <c r="DR7" s="156" t="s">
        <v>135</v>
      </c>
      <c r="DS7" s="124"/>
      <c r="DT7" s="3"/>
      <c r="DU7" s="156" t="s">
        <v>135</v>
      </c>
      <c r="DV7" s="104"/>
      <c r="DW7" s="3"/>
      <c r="DX7" s="156" t="s">
        <v>135</v>
      </c>
      <c r="DY7" s="124"/>
      <c r="DZ7" s="3"/>
      <c r="EA7" s="156" t="s">
        <v>135</v>
      </c>
      <c r="EB7" s="124"/>
      <c r="EC7" s="3"/>
      <c r="ED7" s="156" t="s">
        <v>135</v>
      </c>
      <c r="EE7" s="124"/>
      <c r="EF7" s="3"/>
      <c r="EG7" s="156" t="s">
        <v>135</v>
      </c>
      <c r="EH7" s="104"/>
      <c r="EI7" s="3"/>
      <c r="EJ7" s="156" t="s">
        <v>135</v>
      </c>
      <c r="EK7" s="124"/>
      <c r="EL7" s="3"/>
      <c r="EM7" s="156" t="s">
        <v>135</v>
      </c>
      <c r="EN7" s="124"/>
      <c r="EO7" s="3"/>
      <c r="EP7" s="156" t="s">
        <v>135</v>
      </c>
      <c r="EQ7" s="124"/>
      <c r="ER7" s="3"/>
      <c r="ES7" s="156" t="s">
        <v>135</v>
      </c>
      <c r="ET7" s="104"/>
      <c r="EU7" s="3"/>
    </row>
    <row r="8" spans="1:151" x14ac:dyDescent="0.2">
      <c r="A8" s="3"/>
      <c r="B8" s="157" t="s">
        <v>136</v>
      </c>
      <c r="C8" s="116"/>
      <c r="D8" s="3"/>
      <c r="E8" s="157" t="s">
        <v>136</v>
      </c>
      <c r="F8" s="116"/>
      <c r="G8" s="3"/>
      <c r="H8" s="157" t="s">
        <v>136</v>
      </c>
      <c r="I8" s="116"/>
      <c r="J8" s="3"/>
      <c r="K8" s="157" t="s">
        <v>136</v>
      </c>
      <c r="L8" s="116"/>
      <c r="M8" s="3"/>
      <c r="N8" s="157" t="s">
        <v>136</v>
      </c>
      <c r="O8" s="116"/>
      <c r="P8" s="3"/>
      <c r="Q8" s="157" t="s">
        <v>136</v>
      </c>
      <c r="R8" s="116"/>
      <c r="S8" s="3"/>
      <c r="T8" s="157" t="s">
        <v>136</v>
      </c>
      <c r="U8" s="116"/>
      <c r="V8" s="3"/>
      <c r="W8" s="157" t="s">
        <v>136</v>
      </c>
      <c r="X8" s="116"/>
      <c r="Y8" s="3"/>
      <c r="Z8" s="157" t="s">
        <v>136</v>
      </c>
      <c r="AA8" s="116"/>
      <c r="AB8" s="3"/>
      <c r="AC8" s="157" t="s">
        <v>136</v>
      </c>
      <c r="AD8" s="116"/>
      <c r="AE8" s="3"/>
      <c r="AF8" s="157" t="s">
        <v>136</v>
      </c>
      <c r="AG8" s="116"/>
      <c r="AH8" s="3"/>
      <c r="AI8" s="157" t="s">
        <v>136</v>
      </c>
      <c r="AJ8" s="116"/>
      <c r="AK8" s="3"/>
      <c r="AL8" s="157" t="s">
        <v>136</v>
      </c>
      <c r="AM8" s="116"/>
      <c r="AN8" s="3"/>
      <c r="AO8" s="157" t="s">
        <v>136</v>
      </c>
      <c r="AP8" s="116"/>
      <c r="AQ8" s="3"/>
      <c r="AR8" s="157" t="s">
        <v>136</v>
      </c>
      <c r="AS8" s="116"/>
      <c r="AT8" s="3"/>
      <c r="AU8" s="157" t="s">
        <v>136</v>
      </c>
      <c r="AV8" s="116"/>
      <c r="AW8" s="3"/>
      <c r="AX8" s="157" t="s">
        <v>136</v>
      </c>
      <c r="AY8" s="116"/>
      <c r="AZ8" s="3"/>
      <c r="BA8" s="157" t="s">
        <v>136</v>
      </c>
      <c r="BB8" s="116"/>
      <c r="BC8" s="3"/>
      <c r="BD8" s="157" t="s">
        <v>136</v>
      </c>
      <c r="BE8" s="116"/>
      <c r="BF8" s="3"/>
      <c r="BG8" s="157" t="s">
        <v>136</v>
      </c>
      <c r="BH8" s="116"/>
      <c r="BI8" s="3"/>
      <c r="BJ8" s="157" t="s">
        <v>136</v>
      </c>
      <c r="BK8" s="116"/>
      <c r="BL8" s="3"/>
      <c r="BM8" s="157" t="s">
        <v>136</v>
      </c>
      <c r="BN8" s="116"/>
      <c r="BO8" s="3"/>
      <c r="BP8" s="157" t="s">
        <v>136</v>
      </c>
      <c r="BQ8" s="116"/>
      <c r="BR8" s="3"/>
      <c r="BS8" s="157" t="s">
        <v>136</v>
      </c>
      <c r="BT8" s="116"/>
      <c r="BU8" s="3"/>
      <c r="BV8" s="157" t="s">
        <v>136</v>
      </c>
      <c r="BW8" s="116"/>
      <c r="BX8" s="3"/>
      <c r="BY8" s="157" t="s">
        <v>136</v>
      </c>
      <c r="BZ8" s="116"/>
      <c r="CA8" s="3"/>
      <c r="CB8" s="157" t="s">
        <v>136</v>
      </c>
      <c r="CC8" s="116"/>
      <c r="CD8" s="3"/>
      <c r="CE8" s="157" t="s">
        <v>136</v>
      </c>
      <c r="CF8" s="116"/>
      <c r="CG8" s="3"/>
      <c r="CH8" s="157" t="s">
        <v>136</v>
      </c>
      <c r="CI8" s="116"/>
      <c r="CJ8" s="3"/>
      <c r="CK8" s="157" t="s">
        <v>136</v>
      </c>
      <c r="CL8" s="116"/>
      <c r="CM8" s="3"/>
      <c r="CN8" s="157" t="s">
        <v>136</v>
      </c>
      <c r="CO8" s="116"/>
      <c r="CP8" s="3"/>
      <c r="CQ8" s="157" t="s">
        <v>136</v>
      </c>
      <c r="CR8" s="116"/>
      <c r="CS8" s="3"/>
      <c r="CT8" s="157" t="s">
        <v>136</v>
      </c>
      <c r="CU8" s="116"/>
      <c r="CV8" s="3"/>
      <c r="CW8" s="157" t="s">
        <v>136</v>
      </c>
      <c r="CX8" s="116"/>
      <c r="CY8" s="3"/>
      <c r="CZ8" s="157" t="s">
        <v>136</v>
      </c>
      <c r="DA8" s="116"/>
      <c r="DB8" s="3"/>
      <c r="DC8" s="157" t="s">
        <v>136</v>
      </c>
      <c r="DD8" s="116"/>
      <c r="DE8" s="3"/>
      <c r="DF8" s="157" t="s">
        <v>136</v>
      </c>
      <c r="DG8" s="116"/>
      <c r="DH8" s="3"/>
      <c r="DI8" s="157" t="s">
        <v>136</v>
      </c>
      <c r="DJ8" s="116"/>
      <c r="DK8" s="3"/>
      <c r="DL8" s="157" t="s">
        <v>136</v>
      </c>
      <c r="DM8" s="116"/>
      <c r="DN8" s="3"/>
      <c r="DO8" s="157" t="s">
        <v>136</v>
      </c>
      <c r="DP8" s="116"/>
      <c r="DQ8" s="3"/>
      <c r="DR8" s="157" t="s">
        <v>136</v>
      </c>
      <c r="DS8" s="116"/>
      <c r="DT8" s="3"/>
      <c r="DU8" s="157" t="s">
        <v>136</v>
      </c>
      <c r="DV8" s="116"/>
      <c r="DW8" s="3"/>
      <c r="DX8" s="157" t="s">
        <v>136</v>
      </c>
      <c r="DY8" s="116"/>
      <c r="DZ8" s="3"/>
      <c r="EA8" s="157" t="s">
        <v>136</v>
      </c>
      <c r="EB8" s="116"/>
      <c r="EC8" s="3"/>
      <c r="ED8" s="157" t="s">
        <v>136</v>
      </c>
      <c r="EE8" s="116"/>
      <c r="EF8" s="3"/>
      <c r="EG8" s="157" t="s">
        <v>136</v>
      </c>
      <c r="EH8" s="116"/>
      <c r="EI8" s="3"/>
      <c r="EJ8" s="157" t="s">
        <v>136</v>
      </c>
      <c r="EK8" s="116"/>
      <c r="EL8" s="3"/>
      <c r="EM8" s="157" t="s">
        <v>136</v>
      </c>
      <c r="EN8" s="116"/>
      <c r="EO8" s="3"/>
      <c r="EP8" s="157" t="s">
        <v>136</v>
      </c>
      <c r="EQ8" s="116"/>
      <c r="ER8" s="3"/>
      <c r="ES8" s="157" t="s">
        <v>136</v>
      </c>
      <c r="ET8" s="116"/>
      <c r="EU8" s="3"/>
    </row>
    <row r="9" spans="1:151" ht="13.5" thickBot="1" x14ac:dyDescent="0.25">
      <c r="A9" s="3"/>
      <c r="B9" s="158" t="s">
        <v>137</v>
      </c>
      <c r="C9" s="116"/>
      <c r="D9" s="3"/>
      <c r="E9" s="158" t="s">
        <v>137</v>
      </c>
      <c r="F9" s="37"/>
      <c r="G9" s="3"/>
      <c r="H9" s="158" t="s">
        <v>137</v>
      </c>
      <c r="I9" s="37"/>
      <c r="J9" s="3"/>
      <c r="K9" s="158" t="s">
        <v>137</v>
      </c>
      <c r="L9" s="37"/>
      <c r="M9" s="3"/>
      <c r="N9" s="158" t="s">
        <v>137</v>
      </c>
      <c r="O9" s="37"/>
      <c r="P9" s="3"/>
      <c r="Q9" s="158" t="s">
        <v>137</v>
      </c>
      <c r="R9" s="37"/>
      <c r="S9" s="3"/>
      <c r="T9" s="158" t="s">
        <v>137</v>
      </c>
      <c r="U9" s="37"/>
      <c r="V9" s="3"/>
      <c r="W9" s="158" t="s">
        <v>137</v>
      </c>
      <c r="X9" s="37"/>
      <c r="Y9" s="3"/>
      <c r="Z9" s="158" t="s">
        <v>137</v>
      </c>
      <c r="AA9" s="37"/>
      <c r="AB9" s="3"/>
      <c r="AC9" s="158" t="s">
        <v>137</v>
      </c>
      <c r="AD9" s="37"/>
      <c r="AE9" s="3"/>
      <c r="AF9" s="158" t="s">
        <v>137</v>
      </c>
      <c r="AG9" s="37"/>
      <c r="AH9" s="3"/>
      <c r="AI9" s="158" t="s">
        <v>137</v>
      </c>
      <c r="AJ9" s="37"/>
      <c r="AK9" s="3"/>
      <c r="AL9" s="158" t="s">
        <v>137</v>
      </c>
      <c r="AM9" s="37"/>
      <c r="AN9" s="3"/>
      <c r="AO9" s="158" t="s">
        <v>137</v>
      </c>
      <c r="AP9" s="37"/>
      <c r="AQ9" s="3"/>
      <c r="AR9" s="158" t="s">
        <v>137</v>
      </c>
      <c r="AS9" s="37"/>
      <c r="AT9" s="3"/>
      <c r="AU9" s="158" t="s">
        <v>137</v>
      </c>
      <c r="AV9" s="37"/>
      <c r="AW9" s="3"/>
      <c r="AX9" s="158" t="s">
        <v>137</v>
      </c>
      <c r="AY9" s="37"/>
      <c r="AZ9" s="3"/>
      <c r="BA9" s="158" t="s">
        <v>137</v>
      </c>
      <c r="BB9" s="37"/>
      <c r="BC9" s="3"/>
      <c r="BD9" s="158" t="s">
        <v>137</v>
      </c>
      <c r="BE9" s="37"/>
      <c r="BF9" s="3"/>
      <c r="BG9" s="158" t="s">
        <v>137</v>
      </c>
      <c r="BH9" s="37"/>
      <c r="BI9" s="3"/>
      <c r="BJ9" s="158" t="s">
        <v>137</v>
      </c>
      <c r="BK9" s="37"/>
      <c r="BL9" s="3"/>
      <c r="BM9" s="158" t="s">
        <v>137</v>
      </c>
      <c r="BN9" s="37"/>
      <c r="BO9" s="3"/>
      <c r="BP9" s="158" t="s">
        <v>137</v>
      </c>
      <c r="BQ9" s="37"/>
      <c r="BR9" s="3"/>
      <c r="BS9" s="158" t="s">
        <v>137</v>
      </c>
      <c r="BT9" s="37"/>
      <c r="BU9" s="3"/>
      <c r="BV9" s="158" t="s">
        <v>137</v>
      </c>
      <c r="BW9" s="37"/>
      <c r="BX9" s="3"/>
      <c r="BY9" s="158" t="s">
        <v>137</v>
      </c>
      <c r="BZ9" s="37"/>
      <c r="CA9" s="3"/>
      <c r="CB9" s="158" t="s">
        <v>137</v>
      </c>
      <c r="CC9" s="37"/>
      <c r="CD9" s="3"/>
      <c r="CE9" s="158" t="s">
        <v>137</v>
      </c>
      <c r="CF9" s="37"/>
      <c r="CG9" s="3"/>
      <c r="CH9" s="158" t="s">
        <v>137</v>
      </c>
      <c r="CI9" s="37"/>
      <c r="CJ9" s="3"/>
      <c r="CK9" s="158" t="s">
        <v>137</v>
      </c>
      <c r="CL9" s="37"/>
      <c r="CM9" s="3"/>
      <c r="CN9" s="158" t="s">
        <v>137</v>
      </c>
      <c r="CO9" s="37"/>
      <c r="CP9" s="3"/>
      <c r="CQ9" s="158" t="s">
        <v>137</v>
      </c>
      <c r="CR9" s="37"/>
      <c r="CS9" s="3"/>
      <c r="CT9" s="158" t="s">
        <v>137</v>
      </c>
      <c r="CU9" s="37"/>
      <c r="CV9" s="3"/>
      <c r="CW9" s="158" t="s">
        <v>137</v>
      </c>
      <c r="CX9" s="37"/>
      <c r="CY9" s="3"/>
      <c r="CZ9" s="158" t="s">
        <v>137</v>
      </c>
      <c r="DA9" s="37"/>
      <c r="DB9" s="3"/>
      <c r="DC9" s="158" t="s">
        <v>137</v>
      </c>
      <c r="DD9" s="37"/>
      <c r="DE9" s="3"/>
      <c r="DF9" s="158" t="s">
        <v>137</v>
      </c>
      <c r="DG9" s="37"/>
      <c r="DH9" s="3"/>
      <c r="DI9" s="158" t="s">
        <v>137</v>
      </c>
      <c r="DJ9" s="37"/>
      <c r="DK9" s="3"/>
      <c r="DL9" s="158" t="s">
        <v>137</v>
      </c>
      <c r="DM9" s="37"/>
      <c r="DN9" s="3"/>
      <c r="DO9" s="158" t="s">
        <v>137</v>
      </c>
      <c r="DP9" s="37"/>
      <c r="DQ9" s="3"/>
      <c r="DR9" s="158" t="s">
        <v>137</v>
      </c>
      <c r="DS9" s="37"/>
      <c r="DT9" s="3"/>
      <c r="DU9" s="158" t="s">
        <v>137</v>
      </c>
      <c r="DV9" s="37"/>
      <c r="DW9" s="3"/>
      <c r="DX9" s="158" t="s">
        <v>137</v>
      </c>
      <c r="DY9" s="37"/>
      <c r="DZ9" s="3"/>
      <c r="EA9" s="158" t="s">
        <v>137</v>
      </c>
      <c r="EB9" s="37"/>
      <c r="EC9" s="3"/>
      <c r="ED9" s="158" t="s">
        <v>137</v>
      </c>
      <c r="EE9" s="37"/>
      <c r="EF9" s="3"/>
      <c r="EG9" s="158" t="s">
        <v>137</v>
      </c>
      <c r="EH9" s="37"/>
      <c r="EI9" s="3"/>
      <c r="EJ9" s="158" t="s">
        <v>137</v>
      </c>
      <c r="EK9" s="37"/>
      <c r="EL9" s="3"/>
      <c r="EM9" s="158" t="s">
        <v>137</v>
      </c>
      <c r="EN9" s="37"/>
      <c r="EO9" s="3"/>
      <c r="EP9" s="158" t="s">
        <v>137</v>
      </c>
      <c r="EQ9" s="37"/>
      <c r="ER9" s="3"/>
      <c r="ES9" s="158" t="s">
        <v>137</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138</v>
      </c>
      <c r="C11" s="42"/>
      <c r="D11" s="3"/>
      <c r="E11" s="146" t="s">
        <v>138</v>
      </c>
      <c r="F11" s="42"/>
      <c r="G11" s="3"/>
      <c r="H11" s="146" t="s">
        <v>138</v>
      </c>
      <c r="I11" s="42"/>
      <c r="J11" s="3"/>
      <c r="K11" s="146" t="s">
        <v>138</v>
      </c>
      <c r="L11" s="42"/>
      <c r="M11" s="3"/>
      <c r="N11" s="146" t="s">
        <v>138</v>
      </c>
      <c r="O11" s="42"/>
      <c r="P11" s="3"/>
      <c r="Q11" s="146" t="s">
        <v>138</v>
      </c>
      <c r="R11" s="42"/>
      <c r="S11" s="3"/>
      <c r="T11" s="146" t="s">
        <v>138</v>
      </c>
      <c r="U11" s="42"/>
      <c r="V11" s="3"/>
      <c r="W11" s="146" t="s">
        <v>138</v>
      </c>
      <c r="X11" s="42"/>
      <c r="Y11" s="3"/>
      <c r="Z11" s="146" t="s">
        <v>138</v>
      </c>
      <c r="AA11" s="42"/>
      <c r="AB11" s="3"/>
      <c r="AC11" s="146" t="s">
        <v>138</v>
      </c>
      <c r="AD11" s="42"/>
      <c r="AE11" s="3"/>
      <c r="AF11" s="146" t="s">
        <v>138</v>
      </c>
      <c r="AG11" s="42"/>
      <c r="AH11" s="3"/>
      <c r="AI11" s="146" t="s">
        <v>138</v>
      </c>
      <c r="AJ11" s="42"/>
      <c r="AK11" s="3"/>
      <c r="AL11" s="146" t="s">
        <v>138</v>
      </c>
      <c r="AM11" s="42"/>
      <c r="AN11" s="3"/>
      <c r="AO11" s="146" t="s">
        <v>138</v>
      </c>
      <c r="AP11" s="42"/>
      <c r="AQ11" s="3"/>
      <c r="AR11" s="146" t="s">
        <v>138</v>
      </c>
      <c r="AS11" s="42"/>
      <c r="AT11" s="3"/>
      <c r="AU11" s="146" t="s">
        <v>138</v>
      </c>
      <c r="AV11" s="42"/>
      <c r="AW11" s="3"/>
      <c r="AX11" s="146" t="s">
        <v>138</v>
      </c>
      <c r="AY11" s="42"/>
      <c r="AZ11" s="3"/>
      <c r="BA11" s="146" t="s">
        <v>138</v>
      </c>
      <c r="BB11" s="42"/>
      <c r="BC11" s="3"/>
      <c r="BD11" s="146" t="s">
        <v>138</v>
      </c>
      <c r="BE11" s="42"/>
      <c r="BF11" s="3"/>
      <c r="BG11" s="146" t="s">
        <v>138</v>
      </c>
      <c r="BH11" s="42"/>
      <c r="BI11" s="3"/>
      <c r="BJ11" s="146" t="s">
        <v>138</v>
      </c>
      <c r="BK11" s="42"/>
      <c r="BL11" s="3"/>
      <c r="BM11" s="146" t="s">
        <v>138</v>
      </c>
      <c r="BN11" s="42"/>
      <c r="BO11" s="3"/>
      <c r="BP11" s="146" t="s">
        <v>138</v>
      </c>
      <c r="BQ11" s="42"/>
      <c r="BR11" s="3"/>
      <c r="BS11" s="146" t="s">
        <v>138</v>
      </c>
      <c r="BT11" s="42"/>
      <c r="BU11" s="3"/>
      <c r="BV11" s="146" t="s">
        <v>138</v>
      </c>
      <c r="BW11" s="42"/>
      <c r="BX11" s="3"/>
      <c r="BY11" s="146" t="s">
        <v>138</v>
      </c>
      <c r="BZ11" s="42"/>
      <c r="CA11" s="3"/>
      <c r="CB11" s="146" t="s">
        <v>138</v>
      </c>
      <c r="CC11" s="42"/>
      <c r="CD11" s="3"/>
      <c r="CE11" s="146" t="s">
        <v>138</v>
      </c>
      <c r="CF11" s="42"/>
      <c r="CG11" s="3"/>
      <c r="CH11" s="146" t="s">
        <v>138</v>
      </c>
      <c r="CI11" s="42"/>
      <c r="CJ11" s="3"/>
      <c r="CK11" s="146" t="s">
        <v>138</v>
      </c>
      <c r="CL11" s="42"/>
      <c r="CM11" s="3"/>
      <c r="CN11" s="146" t="s">
        <v>138</v>
      </c>
      <c r="CO11" s="42"/>
      <c r="CP11" s="3"/>
      <c r="CQ11" s="146" t="s">
        <v>138</v>
      </c>
      <c r="CR11" s="42"/>
      <c r="CS11" s="3"/>
      <c r="CT11" s="146" t="s">
        <v>138</v>
      </c>
      <c r="CU11" s="42"/>
      <c r="CV11" s="3"/>
      <c r="CW11" s="146" t="s">
        <v>138</v>
      </c>
      <c r="CX11" s="42"/>
      <c r="CY11" s="3"/>
      <c r="CZ11" s="146" t="s">
        <v>138</v>
      </c>
      <c r="DA11" s="42"/>
      <c r="DB11" s="3"/>
      <c r="DC11" s="146" t="s">
        <v>138</v>
      </c>
      <c r="DD11" s="42"/>
      <c r="DE11" s="3"/>
      <c r="DF11" s="146" t="s">
        <v>138</v>
      </c>
      <c r="DG11" s="42"/>
      <c r="DH11" s="3"/>
      <c r="DI11" s="146" t="s">
        <v>138</v>
      </c>
      <c r="DJ11" s="42"/>
      <c r="DK11" s="3"/>
      <c r="DL11" s="146" t="s">
        <v>138</v>
      </c>
      <c r="DM11" s="42"/>
      <c r="DN11" s="3"/>
      <c r="DO11" s="146" t="s">
        <v>138</v>
      </c>
      <c r="DP11" s="42"/>
      <c r="DQ11" s="3"/>
      <c r="DR11" s="146" t="s">
        <v>138</v>
      </c>
      <c r="DS11" s="42"/>
      <c r="DT11" s="3"/>
      <c r="DU11" s="146" t="s">
        <v>138</v>
      </c>
      <c r="DV11" s="42"/>
      <c r="DW11" s="3"/>
      <c r="DX11" s="146" t="s">
        <v>138</v>
      </c>
      <c r="DY11" s="42"/>
      <c r="DZ11" s="3"/>
      <c r="EA11" s="146" t="s">
        <v>138</v>
      </c>
      <c r="EB11" s="42"/>
      <c r="EC11" s="3"/>
      <c r="ED11" s="146" t="s">
        <v>138</v>
      </c>
      <c r="EE11" s="42"/>
      <c r="EF11" s="3"/>
      <c r="EG11" s="146" t="s">
        <v>138</v>
      </c>
      <c r="EH11" s="42"/>
      <c r="EI11" s="3"/>
      <c r="EJ11" s="146" t="s">
        <v>138</v>
      </c>
      <c r="EK11" s="42"/>
      <c r="EL11" s="3"/>
      <c r="EM11" s="146" t="s">
        <v>138</v>
      </c>
      <c r="EN11" s="42"/>
      <c r="EO11" s="3"/>
      <c r="EP11" s="146" t="s">
        <v>138</v>
      </c>
      <c r="EQ11" s="42"/>
      <c r="ER11" s="3"/>
      <c r="ES11" s="146" t="s">
        <v>138</v>
      </c>
      <c r="ET11" s="42"/>
      <c r="EU11" s="3"/>
    </row>
    <row r="12" spans="1:151" x14ac:dyDescent="0.2">
      <c r="A12" s="3"/>
      <c r="B12" s="108"/>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F7">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C10" sqref="C10"/>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135</v>
      </c>
      <c r="C7" s="104"/>
      <c r="D7" s="117"/>
      <c r="E7" s="118" t="s">
        <v>135</v>
      </c>
      <c r="F7" s="104"/>
      <c r="G7" s="117"/>
      <c r="H7" s="118" t="s">
        <v>135</v>
      </c>
      <c r="I7" s="104"/>
      <c r="J7" s="117"/>
      <c r="K7" s="118" t="s">
        <v>135</v>
      </c>
      <c r="L7" s="104"/>
      <c r="M7" s="117"/>
      <c r="N7" s="118" t="s">
        <v>135</v>
      </c>
      <c r="O7" s="104"/>
      <c r="P7" s="117"/>
      <c r="Q7" s="118" t="s">
        <v>135</v>
      </c>
      <c r="R7" s="104"/>
      <c r="S7" s="117"/>
      <c r="T7" s="118" t="s">
        <v>135</v>
      </c>
      <c r="U7" s="104"/>
      <c r="V7" s="117"/>
      <c r="W7" s="118" t="s">
        <v>135</v>
      </c>
      <c r="X7" s="104"/>
      <c r="Y7" s="117"/>
      <c r="Z7" s="118" t="s">
        <v>135</v>
      </c>
      <c r="AA7" s="104"/>
      <c r="AB7" s="117"/>
      <c r="AC7" s="118" t="s">
        <v>135</v>
      </c>
      <c r="AD7" s="104"/>
      <c r="AE7" s="117"/>
      <c r="AF7" s="118" t="s">
        <v>135</v>
      </c>
      <c r="AG7" s="104"/>
      <c r="AH7" s="117"/>
      <c r="AI7" s="118" t="s">
        <v>135</v>
      </c>
      <c r="AJ7" s="104"/>
      <c r="AK7" s="117"/>
      <c r="AL7" s="118" t="s">
        <v>135</v>
      </c>
      <c r="AM7" s="104"/>
      <c r="AN7" s="117"/>
      <c r="AO7" s="118" t="s">
        <v>135</v>
      </c>
      <c r="AP7" s="104"/>
      <c r="AQ7" s="117"/>
      <c r="AR7" s="118" t="s">
        <v>135</v>
      </c>
      <c r="AS7" s="104"/>
      <c r="AT7" s="117"/>
      <c r="AU7" s="118" t="s">
        <v>135</v>
      </c>
      <c r="AV7" s="104"/>
      <c r="AW7" s="117"/>
      <c r="AX7" s="118" t="s">
        <v>135</v>
      </c>
      <c r="AY7" s="104"/>
      <c r="AZ7" s="117"/>
      <c r="BA7" s="118" t="s">
        <v>135</v>
      </c>
      <c r="BB7" s="104"/>
      <c r="BC7" s="117"/>
      <c r="BD7" s="118" t="s">
        <v>135</v>
      </c>
      <c r="BE7" s="104"/>
      <c r="BF7" s="117"/>
      <c r="BG7" s="118" t="s">
        <v>135</v>
      </c>
      <c r="BH7" s="104"/>
      <c r="BI7" s="117"/>
      <c r="BJ7" s="118" t="s">
        <v>135</v>
      </c>
      <c r="BK7" s="104"/>
      <c r="BL7" s="117"/>
      <c r="BM7" s="118" t="s">
        <v>135</v>
      </c>
      <c r="BN7" s="104"/>
      <c r="BO7" s="117"/>
      <c r="BP7" s="118" t="s">
        <v>135</v>
      </c>
      <c r="BQ7" s="104"/>
      <c r="BR7" s="117"/>
      <c r="BS7" s="118" t="s">
        <v>135</v>
      </c>
      <c r="BT7" s="104"/>
      <c r="BU7" s="117"/>
      <c r="BV7" s="118" t="s">
        <v>135</v>
      </c>
      <c r="BW7" s="104"/>
      <c r="BX7" s="117"/>
      <c r="BY7" s="118" t="s">
        <v>135</v>
      </c>
      <c r="BZ7" s="104"/>
      <c r="CA7" s="117"/>
      <c r="CB7" s="118" t="s">
        <v>135</v>
      </c>
      <c r="CC7" s="104"/>
      <c r="CD7" s="117"/>
      <c r="CE7" s="118" t="s">
        <v>135</v>
      </c>
      <c r="CF7" s="104"/>
      <c r="CG7" s="117"/>
      <c r="CH7" s="118" t="s">
        <v>135</v>
      </c>
      <c r="CI7" s="104"/>
      <c r="CJ7" s="117"/>
      <c r="CK7" s="118" t="s">
        <v>135</v>
      </c>
      <c r="CL7" s="104"/>
      <c r="CM7" s="117"/>
      <c r="CN7" s="118" t="s">
        <v>135</v>
      </c>
      <c r="CO7" s="104"/>
      <c r="CP7" s="117"/>
      <c r="CQ7" s="118" t="s">
        <v>135</v>
      </c>
      <c r="CR7" s="104"/>
      <c r="CS7" s="117"/>
      <c r="CT7" s="118" t="s">
        <v>135</v>
      </c>
      <c r="CU7" s="104"/>
      <c r="CV7" s="117"/>
      <c r="CW7" s="118" t="s">
        <v>135</v>
      </c>
      <c r="CX7" s="104"/>
      <c r="CY7" s="117"/>
      <c r="CZ7" s="118" t="s">
        <v>135</v>
      </c>
      <c r="DA7" s="104"/>
      <c r="DB7" s="117"/>
      <c r="DC7" s="118" t="s">
        <v>135</v>
      </c>
      <c r="DD7" s="104"/>
      <c r="DE7" s="117"/>
      <c r="DF7" s="118" t="s">
        <v>135</v>
      </c>
      <c r="DG7" s="104"/>
      <c r="DH7" s="117"/>
      <c r="DI7" s="118" t="s">
        <v>135</v>
      </c>
      <c r="DJ7" s="104"/>
      <c r="DK7" s="117"/>
      <c r="DL7" s="118" t="s">
        <v>135</v>
      </c>
      <c r="DM7" s="104"/>
      <c r="DN7" s="117"/>
      <c r="DO7" s="118" t="s">
        <v>135</v>
      </c>
      <c r="DP7" s="104"/>
      <c r="DQ7" s="117"/>
      <c r="DR7" s="118" t="s">
        <v>135</v>
      </c>
      <c r="DS7" s="104"/>
      <c r="DT7" s="117"/>
      <c r="DU7" s="118" t="s">
        <v>135</v>
      </c>
      <c r="DV7" s="104"/>
      <c r="DW7" s="117"/>
      <c r="DX7" s="118" t="s">
        <v>135</v>
      </c>
      <c r="DY7" s="104"/>
      <c r="DZ7" s="117"/>
      <c r="EA7" s="118" t="s">
        <v>135</v>
      </c>
      <c r="EB7" s="104"/>
      <c r="EC7" s="117"/>
      <c r="ED7" s="118" t="s">
        <v>135</v>
      </c>
      <c r="EE7" s="104"/>
      <c r="EF7" s="117"/>
      <c r="EG7" s="118" t="s">
        <v>135</v>
      </c>
      <c r="EH7" s="104"/>
      <c r="EI7" s="117"/>
      <c r="EJ7" s="118" t="s">
        <v>135</v>
      </c>
      <c r="EK7" s="104"/>
      <c r="EL7" s="117"/>
      <c r="EM7" s="118" t="s">
        <v>135</v>
      </c>
      <c r="EN7" s="104"/>
      <c r="EO7" s="117"/>
      <c r="EP7" s="118" t="s">
        <v>135</v>
      </c>
      <c r="EQ7" s="104"/>
      <c r="ER7" s="117"/>
      <c r="ES7" s="118" t="s">
        <v>135</v>
      </c>
      <c r="ET7" s="104"/>
      <c r="EU7" s="3"/>
    </row>
    <row r="8" spans="1:151" x14ac:dyDescent="0.2">
      <c r="A8" s="3"/>
      <c r="B8" s="119" t="s">
        <v>139</v>
      </c>
      <c r="C8" s="116"/>
      <c r="D8" s="117"/>
      <c r="E8" s="119" t="s">
        <v>139</v>
      </c>
      <c r="F8" s="116"/>
      <c r="G8" s="117"/>
      <c r="H8" s="119" t="s">
        <v>139</v>
      </c>
      <c r="I8" s="116"/>
      <c r="J8" s="117"/>
      <c r="K8" s="119" t="s">
        <v>139</v>
      </c>
      <c r="L8" s="116"/>
      <c r="M8" s="117"/>
      <c r="N8" s="119" t="s">
        <v>139</v>
      </c>
      <c r="O8" s="116"/>
      <c r="P8" s="117"/>
      <c r="Q8" s="119" t="s">
        <v>139</v>
      </c>
      <c r="R8" s="116"/>
      <c r="S8" s="117"/>
      <c r="T8" s="119" t="s">
        <v>139</v>
      </c>
      <c r="U8" s="116"/>
      <c r="V8" s="117"/>
      <c r="W8" s="119" t="s">
        <v>139</v>
      </c>
      <c r="X8" s="116"/>
      <c r="Y8" s="117"/>
      <c r="Z8" s="119" t="s">
        <v>139</v>
      </c>
      <c r="AA8" s="116"/>
      <c r="AB8" s="117"/>
      <c r="AC8" s="119" t="s">
        <v>139</v>
      </c>
      <c r="AD8" s="116"/>
      <c r="AE8" s="117"/>
      <c r="AF8" s="119" t="s">
        <v>139</v>
      </c>
      <c r="AG8" s="116"/>
      <c r="AH8" s="117"/>
      <c r="AI8" s="119" t="s">
        <v>139</v>
      </c>
      <c r="AJ8" s="116"/>
      <c r="AK8" s="117"/>
      <c r="AL8" s="119" t="s">
        <v>139</v>
      </c>
      <c r="AM8" s="116"/>
      <c r="AN8" s="117"/>
      <c r="AO8" s="119" t="s">
        <v>139</v>
      </c>
      <c r="AP8" s="116"/>
      <c r="AQ8" s="117"/>
      <c r="AR8" s="119" t="s">
        <v>139</v>
      </c>
      <c r="AS8" s="116"/>
      <c r="AT8" s="117"/>
      <c r="AU8" s="119" t="s">
        <v>139</v>
      </c>
      <c r="AV8" s="116"/>
      <c r="AW8" s="117"/>
      <c r="AX8" s="119" t="s">
        <v>139</v>
      </c>
      <c r="AY8" s="116"/>
      <c r="AZ8" s="117"/>
      <c r="BA8" s="119" t="s">
        <v>139</v>
      </c>
      <c r="BB8" s="116"/>
      <c r="BC8" s="117"/>
      <c r="BD8" s="119" t="s">
        <v>139</v>
      </c>
      <c r="BE8" s="116"/>
      <c r="BF8" s="117"/>
      <c r="BG8" s="119" t="s">
        <v>139</v>
      </c>
      <c r="BH8" s="116"/>
      <c r="BI8" s="117"/>
      <c r="BJ8" s="119" t="s">
        <v>139</v>
      </c>
      <c r="BK8" s="116"/>
      <c r="BL8" s="117"/>
      <c r="BM8" s="119" t="s">
        <v>139</v>
      </c>
      <c r="BN8" s="116"/>
      <c r="BO8" s="117"/>
      <c r="BP8" s="119" t="s">
        <v>139</v>
      </c>
      <c r="BQ8" s="116"/>
      <c r="BR8" s="117"/>
      <c r="BS8" s="119" t="s">
        <v>139</v>
      </c>
      <c r="BT8" s="116"/>
      <c r="BU8" s="117"/>
      <c r="BV8" s="119" t="s">
        <v>139</v>
      </c>
      <c r="BW8" s="116"/>
      <c r="BX8" s="117"/>
      <c r="BY8" s="119" t="s">
        <v>139</v>
      </c>
      <c r="BZ8" s="116"/>
      <c r="CA8" s="117"/>
      <c r="CB8" s="119" t="s">
        <v>139</v>
      </c>
      <c r="CC8" s="116"/>
      <c r="CD8" s="117"/>
      <c r="CE8" s="119" t="s">
        <v>139</v>
      </c>
      <c r="CF8" s="116"/>
      <c r="CG8" s="117"/>
      <c r="CH8" s="119" t="s">
        <v>139</v>
      </c>
      <c r="CI8" s="116"/>
      <c r="CJ8" s="117"/>
      <c r="CK8" s="119" t="s">
        <v>139</v>
      </c>
      <c r="CL8" s="116"/>
      <c r="CM8" s="117"/>
      <c r="CN8" s="119" t="s">
        <v>139</v>
      </c>
      <c r="CO8" s="116"/>
      <c r="CP8" s="117"/>
      <c r="CQ8" s="119" t="s">
        <v>139</v>
      </c>
      <c r="CR8" s="116"/>
      <c r="CS8" s="117"/>
      <c r="CT8" s="119" t="s">
        <v>139</v>
      </c>
      <c r="CU8" s="116"/>
      <c r="CV8" s="117"/>
      <c r="CW8" s="119" t="s">
        <v>139</v>
      </c>
      <c r="CX8" s="116"/>
      <c r="CY8" s="117"/>
      <c r="CZ8" s="119" t="s">
        <v>139</v>
      </c>
      <c r="DA8" s="116"/>
      <c r="DB8" s="117"/>
      <c r="DC8" s="119" t="s">
        <v>139</v>
      </c>
      <c r="DD8" s="116"/>
      <c r="DE8" s="117"/>
      <c r="DF8" s="119" t="s">
        <v>139</v>
      </c>
      <c r="DG8" s="116"/>
      <c r="DH8" s="117"/>
      <c r="DI8" s="119" t="s">
        <v>139</v>
      </c>
      <c r="DJ8" s="116"/>
      <c r="DK8" s="117"/>
      <c r="DL8" s="119" t="s">
        <v>139</v>
      </c>
      <c r="DM8" s="116"/>
      <c r="DN8" s="117"/>
      <c r="DO8" s="119" t="s">
        <v>139</v>
      </c>
      <c r="DP8" s="116"/>
      <c r="DQ8" s="117"/>
      <c r="DR8" s="119" t="s">
        <v>139</v>
      </c>
      <c r="DS8" s="116"/>
      <c r="DT8" s="117"/>
      <c r="DU8" s="119" t="s">
        <v>139</v>
      </c>
      <c r="DV8" s="116"/>
      <c r="DW8" s="117"/>
      <c r="DX8" s="119" t="s">
        <v>139</v>
      </c>
      <c r="DY8" s="116"/>
      <c r="DZ8" s="117"/>
      <c r="EA8" s="119" t="s">
        <v>139</v>
      </c>
      <c r="EB8" s="116"/>
      <c r="EC8" s="117"/>
      <c r="ED8" s="119" t="s">
        <v>139</v>
      </c>
      <c r="EE8" s="116"/>
      <c r="EF8" s="117"/>
      <c r="EG8" s="119" t="s">
        <v>139</v>
      </c>
      <c r="EH8" s="116"/>
      <c r="EI8" s="117"/>
      <c r="EJ8" s="119" t="s">
        <v>139</v>
      </c>
      <c r="EK8" s="116"/>
      <c r="EL8" s="117"/>
      <c r="EM8" s="119" t="s">
        <v>139</v>
      </c>
      <c r="EN8" s="116"/>
      <c r="EO8" s="117"/>
      <c r="EP8" s="119" t="s">
        <v>139</v>
      </c>
      <c r="EQ8" s="116"/>
      <c r="ER8" s="117"/>
      <c r="ES8" s="119" t="s">
        <v>139</v>
      </c>
      <c r="ET8" s="116"/>
      <c r="EU8" s="3"/>
    </row>
    <row r="9" spans="1:151" ht="13.5" thickBot="1" x14ac:dyDescent="0.25">
      <c r="A9" s="3"/>
      <c r="B9" s="120" t="s">
        <v>140</v>
      </c>
      <c r="C9" s="121"/>
      <c r="D9" s="117"/>
      <c r="E9" s="120" t="s">
        <v>140</v>
      </c>
      <c r="F9" s="121"/>
      <c r="G9" s="117"/>
      <c r="H9" s="120" t="s">
        <v>140</v>
      </c>
      <c r="I9" s="121"/>
      <c r="J9" s="117"/>
      <c r="K9" s="120" t="s">
        <v>140</v>
      </c>
      <c r="L9" s="121"/>
      <c r="M9" s="117"/>
      <c r="N9" s="120" t="s">
        <v>140</v>
      </c>
      <c r="O9" s="121"/>
      <c r="P9" s="117"/>
      <c r="Q9" s="120" t="s">
        <v>140</v>
      </c>
      <c r="R9" s="121"/>
      <c r="S9" s="117"/>
      <c r="T9" s="120" t="s">
        <v>140</v>
      </c>
      <c r="U9" s="121"/>
      <c r="V9" s="117"/>
      <c r="W9" s="120" t="s">
        <v>140</v>
      </c>
      <c r="X9" s="121"/>
      <c r="Y9" s="117"/>
      <c r="Z9" s="120" t="s">
        <v>140</v>
      </c>
      <c r="AA9" s="121"/>
      <c r="AB9" s="117"/>
      <c r="AC9" s="120" t="s">
        <v>140</v>
      </c>
      <c r="AD9" s="121"/>
      <c r="AE9" s="117"/>
      <c r="AF9" s="120" t="s">
        <v>140</v>
      </c>
      <c r="AG9" s="121"/>
      <c r="AH9" s="117"/>
      <c r="AI9" s="120" t="s">
        <v>140</v>
      </c>
      <c r="AJ9" s="121"/>
      <c r="AK9" s="117"/>
      <c r="AL9" s="120" t="s">
        <v>140</v>
      </c>
      <c r="AM9" s="121"/>
      <c r="AN9" s="117"/>
      <c r="AO9" s="120" t="s">
        <v>140</v>
      </c>
      <c r="AP9" s="121"/>
      <c r="AQ9" s="117"/>
      <c r="AR9" s="120" t="s">
        <v>140</v>
      </c>
      <c r="AS9" s="121"/>
      <c r="AT9" s="117"/>
      <c r="AU9" s="120" t="s">
        <v>140</v>
      </c>
      <c r="AV9" s="121"/>
      <c r="AW9" s="117"/>
      <c r="AX9" s="120" t="s">
        <v>140</v>
      </c>
      <c r="AY9" s="121"/>
      <c r="AZ9" s="117"/>
      <c r="BA9" s="120" t="s">
        <v>140</v>
      </c>
      <c r="BB9" s="121"/>
      <c r="BC9" s="117"/>
      <c r="BD9" s="120" t="s">
        <v>140</v>
      </c>
      <c r="BE9" s="121"/>
      <c r="BF9" s="117"/>
      <c r="BG9" s="120" t="s">
        <v>140</v>
      </c>
      <c r="BH9" s="121"/>
      <c r="BI9" s="117"/>
      <c r="BJ9" s="120" t="s">
        <v>140</v>
      </c>
      <c r="BK9" s="121"/>
      <c r="BL9" s="117"/>
      <c r="BM9" s="120" t="s">
        <v>140</v>
      </c>
      <c r="BN9" s="121"/>
      <c r="BO9" s="117"/>
      <c r="BP9" s="120" t="s">
        <v>140</v>
      </c>
      <c r="BQ9" s="121"/>
      <c r="BR9" s="117"/>
      <c r="BS9" s="120" t="s">
        <v>140</v>
      </c>
      <c r="BT9" s="121"/>
      <c r="BU9" s="117"/>
      <c r="BV9" s="120" t="s">
        <v>140</v>
      </c>
      <c r="BW9" s="121"/>
      <c r="BX9" s="117"/>
      <c r="BY9" s="120" t="s">
        <v>140</v>
      </c>
      <c r="BZ9" s="121"/>
      <c r="CA9" s="117"/>
      <c r="CB9" s="120" t="s">
        <v>140</v>
      </c>
      <c r="CC9" s="121"/>
      <c r="CD9" s="117"/>
      <c r="CE9" s="120" t="s">
        <v>140</v>
      </c>
      <c r="CF9" s="121"/>
      <c r="CG9" s="117"/>
      <c r="CH9" s="120" t="s">
        <v>140</v>
      </c>
      <c r="CI9" s="121"/>
      <c r="CJ9" s="117"/>
      <c r="CK9" s="120" t="s">
        <v>140</v>
      </c>
      <c r="CL9" s="121"/>
      <c r="CM9" s="117"/>
      <c r="CN9" s="120" t="s">
        <v>140</v>
      </c>
      <c r="CO9" s="121"/>
      <c r="CP9" s="117"/>
      <c r="CQ9" s="120" t="s">
        <v>140</v>
      </c>
      <c r="CR9" s="121"/>
      <c r="CS9" s="117"/>
      <c r="CT9" s="120" t="s">
        <v>140</v>
      </c>
      <c r="CU9" s="121"/>
      <c r="CV9" s="117"/>
      <c r="CW9" s="120" t="s">
        <v>140</v>
      </c>
      <c r="CX9" s="121"/>
      <c r="CY9" s="117"/>
      <c r="CZ9" s="120" t="s">
        <v>140</v>
      </c>
      <c r="DA9" s="121"/>
      <c r="DB9" s="117"/>
      <c r="DC9" s="120" t="s">
        <v>140</v>
      </c>
      <c r="DD9" s="121"/>
      <c r="DE9" s="117"/>
      <c r="DF9" s="120" t="s">
        <v>140</v>
      </c>
      <c r="DG9" s="121"/>
      <c r="DH9" s="117"/>
      <c r="DI9" s="120" t="s">
        <v>140</v>
      </c>
      <c r="DJ9" s="121"/>
      <c r="DK9" s="117"/>
      <c r="DL9" s="120" t="s">
        <v>140</v>
      </c>
      <c r="DM9" s="121"/>
      <c r="DN9" s="117"/>
      <c r="DO9" s="120" t="s">
        <v>140</v>
      </c>
      <c r="DP9" s="121"/>
      <c r="DQ9" s="117"/>
      <c r="DR9" s="120" t="s">
        <v>140</v>
      </c>
      <c r="DS9" s="121"/>
      <c r="DT9" s="117"/>
      <c r="DU9" s="120" t="s">
        <v>140</v>
      </c>
      <c r="DV9" s="121"/>
      <c r="DW9" s="117"/>
      <c r="DX9" s="120" t="s">
        <v>140</v>
      </c>
      <c r="DY9" s="121"/>
      <c r="DZ9" s="117"/>
      <c r="EA9" s="120" t="s">
        <v>140</v>
      </c>
      <c r="EB9" s="121"/>
      <c r="EC9" s="117"/>
      <c r="ED9" s="120" t="s">
        <v>140</v>
      </c>
      <c r="EE9" s="121"/>
      <c r="EF9" s="117"/>
      <c r="EG9" s="120" t="s">
        <v>140</v>
      </c>
      <c r="EH9" s="121"/>
      <c r="EI9" s="117"/>
      <c r="EJ9" s="120" t="s">
        <v>140</v>
      </c>
      <c r="EK9" s="121"/>
      <c r="EL9" s="117"/>
      <c r="EM9" s="120" t="s">
        <v>140</v>
      </c>
      <c r="EN9" s="121"/>
      <c r="EO9" s="117"/>
      <c r="EP9" s="120" t="s">
        <v>140</v>
      </c>
      <c r="EQ9" s="121"/>
      <c r="ER9" s="117"/>
      <c r="ES9" s="120" t="s">
        <v>140</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7">
      <formula1>NameLabelRange</formula1>
    </dataValidation>
    <dataValidation type="list" allowBlank="1" sqref="I7">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N8" sqref="N8"/>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135</v>
      </c>
      <c r="D7" s="104" t="s">
        <v>172</v>
      </c>
      <c r="E7" s="42"/>
      <c r="F7" s="42"/>
      <c r="G7" s="49"/>
      <c r="H7" s="118" t="s">
        <v>135</v>
      </c>
      <c r="I7" s="104" t="s">
        <v>177</v>
      </c>
      <c r="J7" s="42"/>
      <c r="K7" s="42"/>
      <c r="L7" s="49"/>
      <c r="M7" s="118" t="s">
        <v>135</v>
      </c>
      <c r="N7" s="104" t="s">
        <v>175</v>
      </c>
      <c r="O7" s="42"/>
      <c r="P7" s="42"/>
      <c r="Q7" s="49"/>
      <c r="R7" s="118" t="s">
        <v>135</v>
      </c>
      <c r="S7" s="104"/>
      <c r="T7" s="42"/>
      <c r="U7" s="42"/>
      <c r="V7" s="49"/>
      <c r="W7" s="118" t="s">
        <v>135</v>
      </c>
      <c r="X7" s="104"/>
      <c r="Y7" s="42"/>
      <c r="Z7" s="42"/>
      <c r="AA7" s="49"/>
      <c r="AB7" s="118" t="s">
        <v>135</v>
      </c>
      <c r="AC7" s="104"/>
      <c r="AD7" s="42"/>
      <c r="AE7" s="42"/>
      <c r="AF7" s="49"/>
      <c r="AG7" s="118" t="s">
        <v>135</v>
      </c>
      <c r="AH7" s="104"/>
      <c r="AI7" s="42"/>
      <c r="AJ7" s="42"/>
      <c r="AK7" s="49"/>
      <c r="AL7" s="118" t="s">
        <v>135</v>
      </c>
      <c r="AM7" s="104"/>
      <c r="AN7" s="42"/>
      <c r="AO7" s="42"/>
      <c r="AP7" s="49"/>
      <c r="AQ7" s="118" t="s">
        <v>135</v>
      </c>
      <c r="AR7" s="104"/>
      <c r="AS7" s="42"/>
      <c r="AT7" s="42"/>
      <c r="AU7" s="49"/>
      <c r="AV7" s="118" t="s">
        <v>135</v>
      </c>
      <c r="AW7" s="104"/>
      <c r="AX7" s="42"/>
      <c r="AY7" s="42"/>
      <c r="AZ7" s="49"/>
      <c r="BA7" s="118" t="s">
        <v>135</v>
      </c>
      <c r="BB7" s="104"/>
      <c r="BC7" s="42"/>
      <c r="BD7" s="42"/>
      <c r="BE7" s="49"/>
      <c r="BF7" s="118" t="s">
        <v>135</v>
      </c>
      <c r="BG7" s="104"/>
      <c r="BH7" s="42"/>
      <c r="BI7" s="42"/>
      <c r="BJ7" s="49"/>
      <c r="BK7" s="118" t="s">
        <v>135</v>
      </c>
      <c r="BL7" s="104"/>
      <c r="BM7" s="42"/>
      <c r="BN7" s="42"/>
      <c r="BO7" s="49"/>
      <c r="BP7" s="118" t="s">
        <v>135</v>
      </c>
      <c r="BQ7" s="104"/>
      <c r="BR7" s="42"/>
      <c r="BS7" s="42"/>
      <c r="BT7" s="49"/>
      <c r="BU7" s="118" t="s">
        <v>135</v>
      </c>
      <c r="BV7" s="104"/>
      <c r="BW7" s="42"/>
      <c r="BX7" s="42"/>
      <c r="BY7" s="49"/>
      <c r="BZ7" s="118" t="s">
        <v>135</v>
      </c>
      <c r="CA7" s="104"/>
      <c r="CB7" s="42"/>
      <c r="CC7" s="42"/>
      <c r="CD7" s="49"/>
      <c r="CE7" s="118" t="s">
        <v>135</v>
      </c>
      <c r="CF7" s="104"/>
      <c r="CG7" s="42"/>
      <c r="CH7" s="42"/>
      <c r="CI7" s="49"/>
      <c r="CJ7" s="118" t="s">
        <v>135</v>
      </c>
      <c r="CK7" s="104"/>
      <c r="CL7" s="42"/>
      <c r="CM7" s="42"/>
      <c r="CN7" s="49"/>
      <c r="CO7" s="118" t="s">
        <v>135</v>
      </c>
      <c r="CP7" s="104"/>
      <c r="CQ7" s="42"/>
      <c r="CR7" s="42"/>
      <c r="CS7" s="49"/>
      <c r="CT7" s="118" t="s">
        <v>135</v>
      </c>
      <c r="CU7" s="104"/>
      <c r="CV7" s="42"/>
      <c r="CW7" s="42"/>
      <c r="CX7" s="49"/>
      <c r="CY7" s="118" t="s">
        <v>135</v>
      </c>
      <c r="CZ7" s="104"/>
      <c r="DA7" s="42"/>
      <c r="DB7" s="42"/>
      <c r="DC7" s="49"/>
      <c r="DD7" s="118" t="s">
        <v>135</v>
      </c>
      <c r="DE7" s="104"/>
      <c r="DF7" s="42"/>
      <c r="DG7" s="42"/>
      <c r="DH7" s="49"/>
      <c r="DI7" s="118" t="s">
        <v>135</v>
      </c>
      <c r="DJ7" s="104"/>
      <c r="DK7" s="42"/>
      <c r="DL7" s="42"/>
      <c r="DM7" s="49"/>
      <c r="DN7" s="118" t="s">
        <v>135</v>
      </c>
      <c r="DO7" s="104"/>
      <c r="DP7" s="42"/>
      <c r="DQ7" s="42"/>
      <c r="DR7" s="49"/>
      <c r="DS7" s="118" t="s">
        <v>135</v>
      </c>
      <c r="DT7" s="104"/>
      <c r="DU7" s="42"/>
      <c r="DV7" s="42"/>
      <c r="DW7" s="49"/>
      <c r="DX7" s="118" t="s">
        <v>135</v>
      </c>
      <c r="DY7" s="104"/>
      <c r="DZ7" s="42"/>
      <c r="EA7" s="42"/>
      <c r="EB7" s="49"/>
      <c r="EC7" s="118" t="s">
        <v>135</v>
      </c>
      <c r="ED7" s="104"/>
      <c r="EE7" s="42"/>
      <c r="EF7" s="42"/>
      <c r="EG7" s="49"/>
      <c r="EH7" s="118" t="s">
        <v>135</v>
      </c>
      <c r="EI7" s="104"/>
      <c r="EJ7" s="42"/>
      <c r="EK7" s="42"/>
      <c r="EL7" s="49"/>
      <c r="EM7" s="118" t="s">
        <v>135</v>
      </c>
      <c r="EN7" s="104"/>
      <c r="EO7" s="42"/>
      <c r="EP7" s="42"/>
      <c r="EQ7" s="49"/>
      <c r="ER7" s="118" t="s">
        <v>135</v>
      </c>
      <c r="ES7" s="104"/>
      <c r="ET7" s="42"/>
      <c r="EU7" s="42"/>
      <c r="EV7" s="49"/>
      <c r="EW7" s="118" t="s">
        <v>135</v>
      </c>
      <c r="EX7" s="104"/>
      <c r="EY7" s="42"/>
      <c r="EZ7" s="42"/>
      <c r="FA7" s="49"/>
      <c r="FB7" s="118" t="s">
        <v>135</v>
      </c>
      <c r="FC7" s="104"/>
      <c r="FD7" s="42"/>
      <c r="FE7" s="42"/>
      <c r="FF7" s="49"/>
      <c r="FG7" s="118" t="s">
        <v>135</v>
      </c>
      <c r="FH7" s="104"/>
      <c r="FI7" s="42"/>
      <c r="FJ7" s="42"/>
      <c r="FK7" s="49"/>
      <c r="FL7" s="118" t="s">
        <v>135</v>
      </c>
      <c r="FM7" s="104"/>
      <c r="FN7" s="42"/>
      <c r="FO7" s="42"/>
      <c r="FP7" s="49"/>
      <c r="FQ7" s="118" t="s">
        <v>135</v>
      </c>
      <c r="FR7" s="104"/>
      <c r="FS7" s="42"/>
      <c r="FT7" s="42"/>
      <c r="FU7" s="49"/>
      <c r="FV7" s="118" t="s">
        <v>135</v>
      </c>
      <c r="FW7" s="104"/>
      <c r="FX7" s="42"/>
      <c r="FY7" s="42"/>
      <c r="FZ7" s="49"/>
      <c r="GA7" s="118" t="s">
        <v>135</v>
      </c>
      <c r="GB7" s="104"/>
      <c r="GC7" s="42"/>
      <c r="GD7" s="42"/>
      <c r="GE7" s="49"/>
      <c r="GF7" s="118" t="s">
        <v>135</v>
      </c>
      <c r="GG7" s="104"/>
      <c r="GH7" s="42"/>
      <c r="GI7" s="42"/>
      <c r="GJ7" s="49"/>
      <c r="GK7" s="118" t="s">
        <v>135</v>
      </c>
      <c r="GL7" s="104"/>
      <c r="GM7" s="42"/>
      <c r="GN7" s="42"/>
      <c r="GO7" s="49"/>
      <c r="GP7" s="118" t="s">
        <v>135</v>
      </c>
      <c r="GQ7" s="104"/>
      <c r="GR7" s="42"/>
      <c r="GS7" s="42"/>
      <c r="GT7" s="49"/>
      <c r="GU7" s="118" t="s">
        <v>135</v>
      </c>
      <c r="GV7" s="104"/>
      <c r="GW7" s="42"/>
      <c r="GX7" s="42"/>
      <c r="GY7" s="49"/>
      <c r="GZ7" s="118" t="s">
        <v>135</v>
      </c>
      <c r="HA7" s="104"/>
      <c r="HB7" s="42"/>
      <c r="HC7" s="42"/>
      <c r="HD7" s="49"/>
      <c r="HE7" s="118" t="s">
        <v>135</v>
      </c>
      <c r="HF7" s="104"/>
      <c r="HG7" s="42"/>
      <c r="HH7" s="42"/>
      <c r="HI7" s="49"/>
      <c r="HJ7" s="118" t="s">
        <v>135</v>
      </c>
      <c r="HK7" s="104"/>
      <c r="HL7" s="42"/>
      <c r="HM7" s="42"/>
      <c r="HN7" s="49"/>
      <c r="HO7" s="118" t="s">
        <v>135</v>
      </c>
      <c r="HP7" s="104"/>
      <c r="HQ7" s="42"/>
      <c r="HR7" s="42"/>
      <c r="HS7" s="49"/>
      <c r="HT7" s="118" t="s">
        <v>135</v>
      </c>
      <c r="HU7" s="104"/>
      <c r="HV7" s="42"/>
      <c r="HW7" s="42"/>
      <c r="HX7" s="49"/>
      <c r="HY7" s="118" t="s">
        <v>135</v>
      </c>
      <c r="HZ7" s="104"/>
      <c r="IA7" s="42"/>
      <c r="IB7" s="42"/>
      <c r="IC7" s="49"/>
      <c r="ID7" s="118" t="s">
        <v>135</v>
      </c>
      <c r="IE7" s="104"/>
      <c r="IF7" s="42"/>
      <c r="IG7" s="42"/>
      <c r="IH7" s="49"/>
      <c r="II7" s="118" t="s">
        <v>135</v>
      </c>
      <c r="IJ7" s="104"/>
      <c r="IK7" s="42"/>
      <c r="IL7" s="42"/>
      <c r="IM7" s="49"/>
      <c r="IN7" s="118" t="s">
        <v>135</v>
      </c>
      <c r="IO7" s="104"/>
      <c r="IP7" s="42"/>
      <c r="IQ7" s="42"/>
    </row>
    <row r="8" spans="1:251" ht="15.75" thickBot="1" x14ac:dyDescent="0.3">
      <c r="A8" s="42"/>
      <c r="B8" s="42"/>
      <c r="C8" s="159" t="s">
        <v>141</v>
      </c>
      <c r="D8" s="196" t="s">
        <v>32</v>
      </c>
      <c r="E8" s="42"/>
      <c r="F8" s="42"/>
      <c r="G8" s="42"/>
      <c r="H8" s="159" t="s">
        <v>141</v>
      </c>
      <c r="I8" s="196" t="s">
        <v>94</v>
      </c>
      <c r="J8" s="42"/>
      <c r="K8" s="42"/>
      <c r="L8" s="42"/>
      <c r="M8" s="159" t="s">
        <v>141</v>
      </c>
      <c r="N8" s="196" t="s">
        <v>46</v>
      </c>
      <c r="O8" s="42"/>
      <c r="P8" s="42"/>
      <c r="Q8" s="42"/>
      <c r="R8" s="159" t="s">
        <v>141</v>
      </c>
      <c r="S8" s="116"/>
      <c r="T8" s="42"/>
      <c r="U8" s="42"/>
      <c r="V8" s="42"/>
      <c r="W8" s="159" t="s">
        <v>141</v>
      </c>
      <c r="X8" s="116"/>
      <c r="Y8" s="42"/>
      <c r="Z8" s="42"/>
      <c r="AA8" s="42"/>
      <c r="AB8" s="159" t="s">
        <v>141</v>
      </c>
      <c r="AC8" s="116"/>
      <c r="AD8" s="42"/>
      <c r="AE8" s="42"/>
      <c r="AF8" s="42"/>
      <c r="AG8" s="159" t="s">
        <v>141</v>
      </c>
      <c r="AH8" s="116"/>
      <c r="AI8" s="42"/>
      <c r="AJ8" s="42"/>
      <c r="AK8" s="42"/>
      <c r="AL8" s="159" t="s">
        <v>141</v>
      </c>
      <c r="AM8" s="116"/>
      <c r="AN8" s="42"/>
      <c r="AO8" s="42"/>
      <c r="AP8" s="42"/>
      <c r="AQ8" s="159" t="s">
        <v>141</v>
      </c>
      <c r="AR8" s="116"/>
      <c r="AS8" s="42"/>
      <c r="AT8" s="42"/>
      <c r="AU8" s="42"/>
      <c r="AV8" s="159" t="s">
        <v>141</v>
      </c>
      <c r="AW8" s="116"/>
      <c r="AX8" s="42"/>
      <c r="AY8" s="42"/>
      <c r="AZ8" s="42"/>
      <c r="BA8" s="159" t="s">
        <v>141</v>
      </c>
      <c r="BB8" s="116"/>
      <c r="BC8" s="42"/>
      <c r="BD8" s="42"/>
      <c r="BE8" s="42"/>
      <c r="BF8" s="159" t="s">
        <v>141</v>
      </c>
      <c r="BG8" s="116"/>
      <c r="BH8" s="42"/>
      <c r="BI8" s="42"/>
      <c r="BJ8" s="42"/>
      <c r="BK8" s="159" t="s">
        <v>141</v>
      </c>
      <c r="BL8" s="116"/>
      <c r="BM8" s="42"/>
      <c r="BN8" s="42"/>
      <c r="BO8" s="42"/>
      <c r="BP8" s="159" t="s">
        <v>141</v>
      </c>
      <c r="BQ8" s="116"/>
      <c r="BR8" s="42"/>
      <c r="BS8" s="42"/>
      <c r="BT8" s="42"/>
      <c r="BU8" s="159" t="s">
        <v>141</v>
      </c>
      <c r="BV8" s="116"/>
      <c r="BW8" s="42"/>
      <c r="BX8" s="42"/>
      <c r="BY8" s="42"/>
      <c r="BZ8" s="159" t="s">
        <v>141</v>
      </c>
      <c r="CA8" s="116"/>
      <c r="CB8" s="42"/>
      <c r="CC8" s="42"/>
      <c r="CD8" s="42"/>
      <c r="CE8" s="159" t="s">
        <v>141</v>
      </c>
      <c r="CF8" s="116"/>
      <c r="CG8" s="42"/>
      <c r="CH8" s="42"/>
      <c r="CI8" s="42"/>
      <c r="CJ8" s="159" t="s">
        <v>141</v>
      </c>
      <c r="CK8" s="116"/>
      <c r="CL8" s="42"/>
      <c r="CM8" s="42"/>
      <c r="CN8" s="42"/>
      <c r="CO8" s="159" t="s">
        <v>141</v>
      </c>
      <c r="CP8" s="116"/>
      <c r="CQ8" s="42"/>
      <c r="CR8" s="42"/>
      <c r="CS8" s="42"/>
      <c r="CT8" s="159" t="s">
        <v>141</v>
      </c>
      <c r="CU8" s="116"/>
      <c r="CV8" s="42"/>
      <c r="CW8" s="42"/>
      <c r="CX8" s="42"/>
      <c r="CY8" s="159" t="s">
        <v>141</v>
      </c>
      <c r="CZ8" s="116"/>
      <c r="DA8" s="42"/>
      <c r="DB8" s="42"/>
      <c r="DC8" s="42"/>
      <c r="DD8" s="159" t="s">
        <v>141</v>
      </c>
      <c r="DE8" s="116"/>
      <c r="DF8" s="42"/>
      <c r="DG8" s="42"/>
      <c r="DH8" s="42"/>
      <c r="DI8" s="159" t="s">
        <v>141</v>
      </c>
      <c r="DJ8" s="116"/>
      <c r="DK8" s="42"/>
      <c r="DL8" s="42"/>
      <c r="DM8" s="42"/>
      <c r="DN8" s="159" t="s">
        <v>141</v>
      </c>
      <c r="DO8" s="116"/>
      <c r="DP8" s="42"/>
      <c r="DQ8" s="42"/>
      <c r="DR8" s="42"/>
      <c r="DS8" s="159" t="s">
        <v>141</v>
      </c>
      <c r="DT8" s="116"/>
      <c r="DU8" s="42"/>
      <c r="DV8" s="42"/>
      <c r="DW8" s="42"/>
      <c r="DX8" s="159" t="s">
        <v>141</v>
      </c>
      <c r="DY8" s="116"/>
      <c r="DZ8" s="42"/>
      <c r="EA8" s="42"/>
      <c r="EB8" s="42"/>
      <c r="EC8" s="159" t="s">
        <v>141</v>
      </c>
      <c r="ED8" s="116"/>
      <c r="EE8" s="42"/>
      <c r="EF8" s="42"/>
      <c r="EG8" s="42"/>
      <c r="EH8" s="159" t="s">
        <v>141</v>
      </c>
      <c r="EI8" s="116"/>
      <c r="EJ8" s="42"/>
      <c r="EK8" s="42"/>
      <c r="EL8" s="42"/>
      <c r="EM8" s="159" t="s">
        <v>141</v>
      </c>
      <c r="EN8" s="116"/>
      <c r="EO8" s="42"/>
      <c r="EP8" s="42"/>
      <c r="EQ8" s="42"/>
      <c r="ER8" s="159" t="s">
        <v>141</v>
      </c>
      <c r="ES8" s="116"/>
      <c r="ET8" s="42"/>
      <c r="EU8" s="42"/>
      <c r="EV8" s="42"/>
      <c r="EW8" s="159" t="s">
        <v>141</v>
      </c>
      <c r="EX8" s="116"/>
      <c r="EY8" s="42"/>
      <c r="EZ8" s="42"/>
      <c r="FA8" s="42"/>
      <c r="FB8" s="159" t="s">
        <v>141</v>
      </c>
      <c r="FC8" s="116"/>
      <c r="FD8" s="42"/>
      <c r="FE8" s="42"/>
      <c r="FF8" s="42"/>
      <c r="FG8" s="159" t="s">
        <v>141</v>
      </c>
      <c r="FH8" s="116"/>
      <c r="FI8" s="42"/>
      <c r="FJ8" s="42"/>
      <c r="FK8" s="42"/>
      <c r="FL8" s="159" t="s">
        <v>141</v>
      </c>
      <c r="FM8" s="116"/>
      <c r="FN8" s="42"/>
      <c r="FO8" s="42"/>
      <c r="FP8" s="42"/>
      <c r="FQ8" s="159" t="s">
        <v>141</v>
      </c>
      <c r="FR8" s="116"/>
      <c r="FS8" s="42"/>
      <c r="FT8" s="42"/>
      <c r="FU8" s="42"/>
      <c r="FV8" s="159" t="s">
        <v>141</v>
      </c>
      <c r="FW8" s="116"/>
      <c r="FX8" s="42"/>
      <c r="FY8" s="42"/>
      <c r="FZ8" s="42"/>
      <c r="GA8" s="159" t="s">
        <v>141</v>
      </c>
      <c r="GB8" s="116"/>
      <c r="GC8" s="42"/>
      <c r="GD8" s="42"/>
      <c r="GE8" s="42"/>
      <c r="GF8" s="159" t="s">
        <v>141</v>
      </c>
      <c r="GG8" s="116"/>
      <c r="GH8" s="42"/>
      <c r="GI8" s="42"/>
      <c r="GJ8" s="42"/>
      <c r="GK8" s="159" t="s">
        <v>141</v>
      </c>
      <c r="GL8" s="116"/>
      <c r="GM8" s="42"/>
      <c r="GN8" s="42"/>
      <c r="GO8" s="42"/>
      <c r="GP8" s="159" t="s">
        <v>141</v>
      </c>
      <c r="GQ8" s="116"/>
      <c r="GR8" s="42"/>
      <c r="GS8" s="42"/>
      <c r="GT8" s="42"/>
      <c r="GU8" s="159" t="s">
        <v>141</v>
      </c>
      <c r="GV8" s="116"/>
      <c r="GW8" s="42"/>
      <c r="GX8" s="42"/>
      <c r="GY8" s="42"/>
      <c r="GZ8" s="159" t="s">
        <v>141</v>
      </c>
      <c r="HA8" s="116"/>
      <c r="HB8" s="42"/>
      <c r="HC8" s="42"/>
      <c r="HD8" s="42"/>
      <c r="HE8" s="159" t="s">
        <v>141</v>
      </c>
      <c r="HF8" s="116"/>
      <c r="HG8" s="42"/>
      <c r="HH8" s="42"/>
      <c r="HI8" s="42"/>
      <c r="HJ8" s="159" t="s">
        <v>141</v>
      </c>
      <c r="HK8" s="116"/>
      <c r="HL8" s="42"/>
      <c r="HM8" s="42"/>
      <c r="HN8" s="42"/>
      <c r="HO8" s="159" t="s">
        <v>141</v>
      </c>
      <c r="HP8" s="116"/>
      <c r="HQ8" s="42"/>
      <c r="HR8" s="42"/>
      <c r="HS8" s="42"/>
      <c r="HT8" s="159" t="s">
        <v>141</v>
      </c>
      <c r="HU8" s="116"/>
      <c r="HV8" s="42"/>
      <c r="HW8" s="42"/>
      <c r="HX8" s="42"/>
      <c r="HY8" s="159" t="s">
        <v>141</v>
      </c>
      <c r="HZ8" s="116"/>
      <c r="IA8" s="42"/>
      <c r="IB8" s="42"/>
      <c r="IC8" s="42"/>
      <c r="ID8" s="159" t="s">
        <v>141</v>
      </c>
      <c r="IE8" s="116"/>
      <c r="IF8" s="42"/>
      <c r="IG8" s="42"/>
      <c r="IH8" s="42"/>
      <c r="II8" s="159" t="s">
        <v>141</v>
      </c>
      <c r="IJ8" s="116"/>
      <c r="IK8" s="42"/>
      <c r="IL8" s="42"/>
      <c r="IM8" s="42"/>
      <c r="IN8" s="159" t="s">
        <v>141</v>
      </c>
      <c r="IO8" s="116"/>
      <c r="IP8" s="42"/>
      <c r="IQ8" s="42"/>
    </row>
    <row r="9" spans="1:251" x14ac:dyDescent="0.2">
      <c r="A9" s="42"/>
      <c r="B9" s="39" t="s">
        <v>10</v>
      </c>
      <c r="C9" s="6" t="s">
        <v>17</v>
      </c>
      <c r="D9" s="152" t="s">
        <v>18</v>
      </c>
      <c r="E9" s="39" t="s">
        <v>18</v>
      </c>
      <c r="F9" s="42"/>
      <c r="G9" s="39" t="s">
        <v>10</v>
      </c>
      <c r="H9" s="6" t="s">
        <v>17</v>
      </c>
      <c r="I9" s="152" t="s">
        <v>18</v>
      </c>
      <c r="J9" s="39" t="s">
        <v>18</v>
      </c>
      <c r="K9" s="42"/>
      <c r="L9" s="39" t="s">
        <v>10</v>
      </c>
      <c r="M9" s="6" t="s">
        <v>17</v>
      </c>
      <c r="N9" s="152" t="s">
        <v>18</v>
      </c>
      <c r="O9" s="39" t="s">
        <v>18</v>
      </c>
      <c r="P9" s="42"/>
      <c r="Q9" s="39" t="s">
        <v>10</v>
      </c>
      <c r="R9" s="6" t="s">
        <v>17</v>
      </c>
      <c r="S9" s="152" t="s">
        <v>18</v>
      </c>
      <c r="T9" s="39" t="s">
        <v>18</v>
      </c>
      <c r="U9" s="42"/>
      <c r="V9" s="39" t="s">
        <v>10</v>
      </c>
      <c r="W9" s="6" t="s">
        <v>17</v>
      </c>
      <c r="X9" s="152" t="s">
        <v>18</v>
      </c>
      <c r="Y9" s="39" t="s">
        <v>18</v>
      </c>
      <c r="Z9" s="42"/>
      <c r="AA9" s="39" t="s">
        <v>10</v>
      </c>
      <c r="AB9" s="6" t="s">
        <v>17</v>
      </c>
      <c r="AC9" s="152" t="s">
        <v>18</v>
      </c>
      <c r="AD9" s="39" t="s">
        <v>18</v>
      </c>
      <c r="AE9" s="42"/>
      <c r="AF9" s="39" t="s">
        <v>10</v>
      </c>
      <c r="AG9" s="6" t="s">
        <v>17</v>
      </c>
      <c r="AH9" s="152" t="s">
        <v>18</v>
      </c>
      <c r="AI9" s="39" t="s">
        <v>18</v>
      </c>
      <c r="AJ9" s="42"/>
      <c r="AK9" s="39" t="s">
        <v>10</v>
      </c>
      <c r="AL9" s="6" t="s">
        <v>17</v>
      </c>
      <c r="AM9" s="152" t="s">
        <v>18</v>
      </c>
      <c r="AN9" s="39" t="s">
        <v>18</v>
      </c>
      <c r="AO9" s="42"/>
      <c r="AP9" s="39" t="s">
        <v>10</v>
      </c>
      <c r="AQ9" s="6" t="s">
        <v>17</v>
      </c>
      <c r="AR9" s="152" t="s">
        <v>18</v>
      </c>
      <c r="AS9" s="39" t="s">
        <v>18</v>
      </c>
      <c r="AT9" s="42"/>
      <c r="AU9" s="39" t="s">
        <v>10</v>
      </c>
      <c r="AV9" s="6" t="s">
        <v>17</v>
      </c>
      <c r="AW9" s="152" t="s">
        <v>18</v>
      </c>
      <c r="AX9" s="39" t="s">
        <v>18</v>
      </c>
      <c r="AY9" s="42"/>
      <c r="AZ9" s="39" t="s">
        <v>10</v>
      </c>
      <c r="BA9" s="6" t="s">
        <v>17</v>
      </c>
      <c r="BB9" s="152" t="s">
        <v>18</v>
      </c>
      <c r="BC9" s="39" t="s">
        <v>18</v>
      </c>
      <c r="BD9" s="42"/>
      <c r="BE9" s="39" t="s">
        <v>10</v>
      </c>
      <c r="BF9" s="6" t="s">
        <v>17</v>
      </c>
      <c r="BG9" s="152" t="s">
        <v>18</v>
      </c>
      <c r="BH9" s="39" t="s">
        <v>18</v>
      </c>
      <c r="BI9" s="42"/>
      <c r="BJ9" s="39" t="s">
        <v>10</v>
      </c>
      <c r="BK9" s="6" t="s">
        <v>17</v>
      </c>
      <c r="BL9" s="152" t="s">
        <v>18</v>
      </c>
      <c r="BM9" s="39" t="s">
        <v>18</v>
      </c>
      <c r="BN9" s="42"/>
      <c r="BO9" s="39" t="s">
        <v>10</v>
      </c>
      <c r="BP9" s="6" t="s">
        <v>17</v>
      </c>
      <c r="BQ9" s="152" t="s">
        <v>18</v>
      </c>
      <c r="BR9" s="39" t="s">
        <v>18</v>
      </c>
      <c r="BS9" s="42"/>
      <c r="BT9" s="39" t="s">
        <v>10</v>
      </c>
      <c r="BU9" s="6" t="s">
        <v>17</v>
      </c>
      <c r="BV9" s="152" t="s">
        <v>18</v>
      </c>
      <c r="BW9" s="39" t="s">
        <v>18</v>
      </c>
      <c r="BX9" s="42"/>
      <c r="BY9" s="39" t="s">
        <v>10</v>
      </c>
      <c r="BZ9" s="6" t="s">
        <v>17</v>
      </c>
      <c r="CA9" s="152" t="s">
        <v>18</v>
      </c>
      <c r="CB9" s="39" t="s">
        <v>18</v>
      </c>
      <c r="CC9" s="42"/>
      <c r="CD9" s="39" t="s">
        <v>10</v>
      </c>
      <c r="CE9" s="6" t="s">
        <v>17</v>
      </c>
      <c r="CF9" s="152" t="s">
        <v>18</v>
      </c>
      <c r="CG9" s="39" t="s">
        <v>18</v>
      </c>
      <c r="CH9" s="42"/>
      <c r="CI9" s="39" t="s">
        <v>10</v>
      </c>
      <c r="CJ9" s="6" t="s">
        <v>17</v>
      </c>
      <c r="CK9" s="152" t="s">
        <v>18</v>
      </c>
      <c r="CL9" s="39" t="s">
        <v>18</v>
      </c>
      <c r="CM9" s="42"/>
      <c r="CN9" s="39" t="s">
        <v>10</v>
      </c>
      <c r="CO9" s="6" t="s">
        <v>17</v>
      </c>
      <c r="CP9" s="152" t="s">
        <v>18</v>
      </c>
      <c r="CQ9" s="39" t="s">
        <v>18</v>
      </c>
      <c r="CR9" s="42"/>
      <c r="CS9" s="39" t="s">
        <v>10</v>
      </c>
      <c r="CT9" s="6" t="s">
        <v>17</v>
      </c>
      <c r="CU9" s="152" t="s">
        <v>18</v>
      </c>
      <c r="CV9" s="39" t="s">
        <v>18</v>
      </c>
      <c r="CW9" s="42"/>
      <c r="CX9" s="39" t="s">
        <v>10</v>
      </c>
      <c r="CY9" s="6" t="s">
        <v>17</v>
      </c>
      <c r="CZ9" s="152" t="s">
        <v>18</v>
      </c>
      <c r="DA9" s="39" t="s">
        <v>18</v>
      </c>
      <c r="DB9" s="42"/>
      <c r="DC9" s="39" t="s">
        <v>10</v>
      </c>
      <c r="DD9" s="6" t="s">
        <v>17</v>
      </c>
      <c r="DE9" s="152" t="s">
        <v>18</v>
      </c>
      <c r="DF9" s="39" t="s">
        <v>18</v>
      </c>
      <c r="DG9" s="42"/>
      <c r="DH9" s="39" t="s">
        <v>10</v>
      </c>
      <c r="DI9" s="6" t="s">
        <v>17</v>
      </c>
      <c r="DJ9" s="152" t="s">
        <v>18</v>
      </c>
      <c r="DK9" s="39" t="s">
        <v>18</v>
      </c>
      <c r="DL9" s="42"/>
      <c r="DM9" s="39" t="s">
        <v>10</v>
      </c>
      <c r="DN9" s="6" t="s">
        <v>17</v>
      </c>
      <c r="DO9" s="152" t="s">
        <v>18</v>
      </c>
      <c r="DP9" s="39" t="s">
        <v>18</v>
      </c>
      <c r="DQ9" s="42"/>
      <c r="DR9" s="39" t="s">
        <v>10</v>
      </c>
      <c r="DS9" s="6" t="s">
        <v>17</v>
      </c>
      <c r="DT9" s="152" t="s">
        <v>18</v>
      </c>
      <c r="DU9" s="39" t="s">
        <v>18</v>
      </c>
      <c r="DV9" s="42"/>
      <c r="DW9" s="39" t="s">
        <v>10</v>
      </c>
      <c r="DX9" s="6" t="s">
        <v>17</v>
      </c>
      <c r="DY9" s="152" t="s">
        <v>18</v>
      </c>
      <c r="DZ9" s="39" t="s">
        <v>18</v>
      </c>
      <c r="EA9" s="42"/>
      <c r="EB9" s="39" t="s">
        <v>10</v>
      </c>
      <c r="EC9" s="6" t="s">
        <v>17</v>
      </c>
      <c r="ED9" s="152" t="s">
        <v>18</v>
      </c>
      <c r="EE9" s="39" t="s">
        <v>18</v>
      </c>
      <c r="EF9" s="42"/>
      <c r="EG9" s="39" t="s">
        <v>10</v>
      </c>
      <c r="EH9" s="6" t="s">
        <v>17</v>
      </c>
      <c r="EI9" s="152" t="s">
        <v>18</v>
      </c>
      <c r="EJ9" s="39" t="s">
        <v>18</v>
      </c>
      <c r="EK9" s="42"/>
      <c r="EL9" s="39" t="s">
        <v>10</v>
      </c>
      <c r="EM9" s="6" t="s">
        <v>17</v>
      </c>
      <c r="EN9" s="152" t="s">
        <v>18</v>
      </c>
      <c r="EO9" s="39" t="s">
        <v>18</v>
      </c>
      <c r="EP9" s="42"/>
      <c r="EQ9" s="39" t="s">
        <v>10</v>
      </c>
      <c r="ER9" s="6" t="s">
        <v>17</v>
      </c>
      <c r="ES9" s="152" t="s">
        <v>18</v>
      </c>
      <c r="ET9" s="39" t="s">
        <v>18</v>
      </c>
      <c r="EU9" s="42"/>
      <c r="EV9" s="39" t="s">
        <v>10</v>
      </c>
      <c r="EW9" s="6" t="s">
        <v>17</v>
      </c>
      <c r="EX9" s="152" t="s">
        <v>18</v>
      </c>
      <c r="EY9" s="39" t="s">
        <v>18</v>
      </c>
      <c r="EZ9" s="42"/>
      <c r="FA9" s="39" t="s">
        <v>10</v>
      </c>
      <c r="FB9" s="6" t="s">
        <v>17</v>
      </c>
      <c r="FC9" s="152" t="s">
        <v>18</v>
      </c>
      <c r="FD9" s="39" t="s">
        <v>18</v>
      </c>
      <c r="FE9" s="42"/>
      <c r="FF9" s="39" t="s">
        <v>10</v>
      </c>
      <c r="FG9" s="6" t="s">
        <v>17</v>
      </c>
      <c r="FH9" s="152" t="s">
        <v>18</v>
      </c>
      <c r="FI9" s="39" t="s">
        <v>18</v>
      </c>
      <c r="FJ9" s="42"/>
      <c r="FK9" s="39" t="s">
        <v>10</v>
      </c>
      <c r="FL9" s="6" t="s">
        <v>17</v>
      </c>
      <c r="FM9" s="152" t="s">
        <v>18</v>
      </c>
      <c r="FN9" s="39" t="s">
        <v>18</v>
      </c>
      <c r="FO9" s="42"/>
      <c r="FP9" s="39" t="s">
        <v>10</v>
      </c>
      <c r="FQ9" s="6" t="s">
        <v>17</v>
      </c>
      <c r="FR9" s="152" t="s">
        <v>18</v>
      </c>
      <c r="FS9" s="39" t="s">
        <v>18</v>
      </c>
      <c r="FT9" s="42"/>
      <c r="FU9" s="39" t="s">
        <v>10</v>
      </c>
      <c r="FV9" s="6" t="s">
        <v>17</v>
      </c>
      <c r="FW9" s="152" t="s">
        <v>18</v>
      </c>
      <c r="FX9" s="39" t="s">
        <v>18</v>
      </c>
      <c r="FY9" s="42"/>
      <c r="FZ9" s="39" t="s">
        <v>10</v>
      </c>
      <c r="GA9" s="6" t="s">
        <v>17</v>
      </c>
      <c r="GB9" s="152" t="s">
        <v>18</v>
      </c>
      <c r="GC9" s="39" t="s">
        <v>18</v>
      </c>
      <c r="GD9" s="42"/>
      <c r="GE9" s="39" t="s">
        <v>10</v>
      </c>
      <c r="GF9" s="6" t="s">
        <v>17</v>
      </c>
      <c r="GG9" s="152" t="s">
        <v>18</v>
      </c>
      <c r="GH9" s="39" t="s">
        <v>18</v>
      </c>
      <c r="GI9" s="42"/>
      <c r="GJ9" s="39" t="s">
        <v>10</v>
      </c>
      <c r="GK9" s="6" t="s">
        <v>17</v>
      </c>
      <c r="GL9" s="152" t="s">
        <v>18</v>
      </c>
      <c r="GM9" s="39" t="s">
        <v>18</v>
      </c>
      <c r="GN9" s="42"/>
      <c r="GO9" s="39" t="s">
        <v>10</v>
      </c>
      <c r="GP9" s="6" t="s">
        <v>17</v>
      </c>
      <c r="GQ9" s="152" t="s">
        <v>18</v>
      </c>
      <c r="GR9" s="39" t="s">
        <v>18</v>
      </c>
      <c r="GS9" s="42"/>
      <c r="GT9" s="39" t="s">
        <v>10</v>
      </c>
      <c r="GU9" s="6" t="s">
        <v>17</v>
      </c>
      <c r="GV9" s="152" t="s">
        <v>18</v>
      </c>
      <c r="GW9" s="39" t="s">
        <v>18</v>
      </c>
      <c r="GX9" s="42"/>
      <c r="GY9" s="39" t="s">
        <v>10</v>
      </c>
      <c r="GZ9" s="6" t="s">
        <v>17</v>
      </c>
      <c r="HA9" s="152" t="s">
        <v>18</v>
      </c>
      <c r="HB9" s="39" t="s">
        <v>18</v>
      </c>
      <c r="HC9" s="42"/>
      <c r="HD9" s="39" t="s">
        <v>10</v>
      </c>
      <c r="HE9" s="6" t="s">
        <v>17</v>
      </c>
      <c r="HF9" s="152" t="s">
        <v>18</v>
      </c>
      <c r="HG9" s="39" t="s">
        <v>18</v>
      </c>
      <c r="HH9" s="42"/>
      <c r="HI9" s="39" t="s">
        <v>10</v>
      </c>
      <c r="HJ9" s="6" t="s">
        <v>17</v>
      </c>
      <c r="HK9" s="152" t="s">
        <v>18</v>
      </c>
      <c r="HL9" s="39" t="s">
        <v>18</v>
      </c>
      <c r="HM9" s="42"/>
      <c r="HN9" s="39" t="s">
        <v>10</v>
      </c>
      <c r="HO9" s="6" t="s">
        <v>17</v>
      </c>
      <c r="HP9" s="152" t="s">
        <v>18</v>
      </c>
      <c r="HQ9" s="39" t="s">
        <v>18</v>
      </c>
      <c r="HR9" s="42"/>
      <c r="HS9" s="39" t="s">
        <v>10</v>
      </c>
      <c r="HT9" s="6" t="s">
        <v>17</v>
      </c>
      <c r="HU9" s="152" t="s">
        <v>18</v>
      </c>
      <c r="HV9" s="39" t="s">
        <v>18</v>
      </c>
      <c r="HW9" s="42"/>
      <c r="HX9" s="39" t="s">
        <v>10</v>
      </c>
      <c r="HY9" s="6" t="s">
        <v>17</v>
      </c>
      <c r="HZ9" s="152" t="s">
        <v>18</v>
      </c>
      <c r="IA9" s="39" t="s">
        <v>18</v>
      </c>
      <c r="IB9" s="42"/>
      <c r="IC9" s="39" t="s">
        <v>10</v>
      </c>
      <c r="ID9" s="6" t="s">
        <v>17</v>
      </c>
      <c r="IE9" s="152" t="s">
        <v>18</v>
      </c>
      <c r="IF9" s="39" t="s">
        <v>18</v>
      </c>
      <c r="IG9" s="42"/>
      <c r="IH9" s="39" t="s">
        <v>10</v>
      </c>
      <c r="II9" s="6" t="s">
        <v>17</v>
      </c>
      <c r="IJ9" s="152" t="s">
        <v>18</v>
      </c>
      <c r="IK9" s="39" t="s">
        <v>18</v>
      </c>
      <c r="IL9" s="42"/>
      <c r="IM9" s="39" t="s">
        <v>10</v>
      </c>
      <c r="IN9" s="6" t="s">
        <v>17</v>
      </c>
      <c r="IO9" s="152" t="s">
        <v>18</v>
      </c>
      <c r="IP9" s="39" t="s">
        <v>18</v>
      </c>
      <c r="IQ9" s="42"/>
    </row>
    <row r="10" spans="1:251" ht="13.5" thickBot="1" x14ac:dyDescent="0.25">
      <c r="A10" s="42"/>
      <c r="B10" s="146" t="s">
        <v>138</v>
      </c>
      <c r="C10" s="160" t="s">
        <v>142</v>
      </c>
      <c r="D10" s="161" t="s">
        <v>143</v>
      </c>
      <c r="E10" s="146" t="s">
        <v>144</v>
      </c>
      <c r="F10" s="42"/>
      <c r="G10" s="146" t="s">
        <v>138</v>
      </c>
      <c r="H10" s="160" t="s">
        <v>142</v>
      </c>
      <c r="I10" s="161" t="s">
        <v>143</v>
      </c>
      <c r="J10" s="146" t="s">
        <v>144</v>
      </c>
      <c r="K10" s="42"/>
      <c r="L10" s="146" t="s">
        <v>138</v>
      </c>
      <c r="M10" s="160" t="s">
        <v>142</v>
      </c>
      <c r="N10" s="161" t="s">
        <v>143</v>
      </c>
      <c r="O10" s="146" t="s">
        <v>144</v>
      </c>
      <c r="P10" s="42"/>
      <c r="Q10" s="146" t="s">
        <v>138</v>
      </c>
      <c r="R10" s="160" t="s">
        <v>142</v>
      </c>
      <c r="S10" s="161" t="s">
        <v>143</v>
      </c>
      <c r="T10" s="146" t="s">
        <v>144</v>
      </c>
      <c r="U10" s="42"/>
      <c r="V10" s="146" t="s">
        <v>138</v>
      </c>
      <c r="W10" s="160" t="s">
        <v>142</v>
      </c>
      <c r="X10" s="161" t="s">
        <v>143</v>
      </c>
      <c r="Y10" s="146" t="s">
        <v>144</v>
      </c>
      <c r="Z10" s="42"/>
      <c r="AA10" s="146" t="s">
        <v>138</v>
      </c>
      <c r="AB10" s="160" t="s">
        <v>142</v>
      </c>
      <c r="AC10" s="161" t="s">
        <v>143</v>
      </c>
      <c r="AD10" s="146" t="s">
        <v>144</v>
      </c>
      <c r="AE10" s="42"/>
      <c r="AF10" s="146" t="s">
        <v>138</v>
      </c>
      <c r="AG10" s="160" t="s">
        <v>142</v>
      </c>
      <c r="AH10" s="161" t="s">
        <v>143</v>
      </c>
      <c r="AI10" s="146" t="s">
        <v>144</v>
      </c>
      <c r="AJ10" s="42"/>
      <c r="AK10" s="146" t="s">
        <v>138</v>
      </c>
      <c r="AL10" s="160" t="s">
        <v>142</v>
      </c>
      <c r="AM10" s="161" t="s">
        <v>143</v>
      </c>
      <c r="AN10" s="146" t="s">
        <v>144</v>
      </c>
      <c r="AO10" s="42"/>
      <c r="AP10" s="146" t="s">
        <v>138</v>
      </c>
      <c r="AQ10" s="160" t="s">
        <v>142</v>
      </c>
      <c r="AR10" s="161" t="s">
        <v>143</v>
      </c>
      <c r="AS10" s="146" t="s">
        <v>144</v>
      </c>
      <c r="AT10" s="42"/>
      <c r="AU10" s="146" t="s">
        <v>138</v>
      </c>
      <c r="AV10" s="160" t="s">
        <v>142</v>
      </c>
      <c r="AW10" s="161" t="s">
        <v>143</v>
      </c>
      <c r="AX10" s="146" t="s">
        <v>144</v>
      </c>
      <c r="AY10" s="42"/>
      <c r="AZ10" s="146" t="s">
        <v>138</v>
      </c>
      <c r="BA10" s="160" t="s">
        <v>142</v>
      </c>
      <c r="BB10" s="161" t="s">
        <v>143</v>
      </c>
      <c r="BC10" s="146" t="s">
        <v>144</v>
      </c>
      <c r="BD10" s="42"/>
      <c r="BE10" s="146" t="s">
        <v>138</v>
      </c>
      <c r="BF10" s="160" t="s">
        <v>142</v>
      </c>
      <c r="BG10" s="161" t="s">
        <v>143</v>
      </c>
      <c r="BH10" s="146" t="s">
        <v>144</v>
      </c>
      <c r="BI10" s="42"/>
      <c r="BJ10" s="146" t="s">
        <v>138</v>
      </c>
      <c r="BK10" s="160" t="s">
        <v>142</v>
      </c>
      <c r="BL10" s="161" t="s">
        <v>143</v>
      </c>
      <c r="BM10" s="146" t="s">
        <v>144</v>
      </c>
      <c r="BN10" s="42"/>
      <c r="BO10" s="146" t="s">
        <v>138</v>
      </c>
      <c r="BP10" s="160" t="s">
        <v>142</v>
      </c>
      <c r="BQ10" s="161" t="s">
        <v>143</v>
      </c>
      <c r="BR10" s="146" t="s">
        <v>144</v>
      </c>
      <c r="BS10" s="42"/>
      <c r="BT10" s="146" t="s">
        <v>138</v>
      </c>
      <c r="BU10" s="160" t="s">
        <v>142</v>
      </c>
      <c r="BV10" s="161" t="s">
        <v>143</v>
      </c>
      <c r="BW10" s="146" t="s">
        <v>144</v>
      </c>
      <c r="BX10" s="42"/>
      <c r="BY10" s="146" t="s">
        <v>138</v>
      </c>
      <c r="BZ10" s="160" t="s">
        <v>142</v>
      </c>
      <c r="CA10" s="161" t="s">
        <v>143</v>
      </c>
      <c r="CB10" s="146" t="s">
        <v>144</v>
      </c>
      <c r="CC10" s="42"/>
      <c r="CD10" s="146" t="s">
        <v>138</v>
      </c>
      <c r="CE10" s="160" t="s">
        <v>142</v>
      </c>
      <c r="CF10" s="161" t="s">
        <v>143</v>
      </c>
      <c r="CG10" s="146" t="s">
        <v>144</v>
      </c>
      <c r="CH10" s="42"/>
      <c r="CI10" s="146" t="s">
        <v>138</v>
      </c>
      <c r="CJ10" s="160" t="s">
        <v>142</v>
      </c>
      <c r="CK10" s="161" t="s">
        <v>143</v>
      </c>
      <c r="CL10" s="146" t="s">
        <v>144</v>
      </c>
      <c r="CM10" s="42"/>
      <c r="CN10" s="146" t="s">
        <v>138</v>
      </c>
      <c r="CO10" s="160" t="s">
        <v>142</v>
      </c>
      <c r="CP10" s="161" t="s">
        <v>143</v>
      </c>
      <c r="CQ10" s="146" t="s">
        <v>144</v>
      </c>
      <c r="CR10" s="42"/>
      <c r="CS10" s="146" t="s">
        <v>138</v>
      </c>
      <c r="CT10" s="160" t="s">
        <v>142</v>
      </c>
      <c r="CU10" s="161" t="s">
        <v>143</v>
      </c>
      <c r="CV10" s="146" t="s">
        <v>144</v>
      </c>
      <c r="CW10" s="42"/>
      <c r="CX10" s="146" t="s">
        <v>138</v>
      </c>
      <c r="CY10" s="160" t="s">
        <v>142</v>
      </c>
      <c r="CZ10" s="161" t="s">
        <v>143</v>
      </c>
      <c r="DA10" s="146" t="s">
        <v>144</v>
      </c>
      <c r="DB10" s="42"/>
      <c r="DC10" s="146" t="s">
        <v>138</v>
      </c>
      <c r="DD10" s="160" t="s">
        <v>142</v>
      </c>
      <c r="DE10" s="161" t="s">
        <v>143</v>
      </c>
      <c r="DF10" s="146" t="s">
        <v>144</v>
      </c>
      <c r="DG10" s="42"/>
      <c r="DH10" s="146" t="s">
        <v>138</v>
      </c>
      <c r="DI10" s="160" t="s">
        <v>142</v>
      </c>
      <c r="DJ10" s="161" t="s">
        <v>143</v>
      </c>
      <c r="DK10" s="146" t="s">
        <v>144</v>
      </c>
      <c r="DL10" s="42"/>
      <c r="DM10" s="146" t="s">
        <v>138</v>
      </c>
      <c r="DN10" s="160" t="s">
        <v>142</v>
      </c>
      <c r="DO10" s="161" t="s">
        <v>143</v>
      </c>
      <c r="DP10" s="146" t="s">
        <v>144</v>
      </c>
      <c r="DQ10" s="42"/>
      <c r="DR10" s="146" t="s">
        <v>138</v>
      </c>
      <c r="DS10" s="160" t="s">
        <v>142</v>
      </c>
      <c r="DT10" s="161" t="s">
        <v>143</v>
      </c>
      <c r="DU10" s="146" t="s">
        <v>144</v>
      </c>
      <c r="DV10" s="42"/>
      <c r="DW10" s="146" t="s">
        <v>138</v>
      </c>
      <c r="DX10" s="160" t="s">
        <v>142</v>
      </c>
      <c r="DY10" s="161" t="s">
        <v>143</v>
      </c>
      <c r="DZ10" s="146" t="s">
        <v>144</v>
      </c>
      <c r="EA10" s="42"/>
      <c r="EB10" s="146" t="s">
        <v>138</v>
      </c>
      <c r="EC10" s="160" t="s">
        <v>142</v>
      </c>
      <c r="ED10" s="161" t="s">
        <v>143</v>
      </c>
      <c r="EE10" s="146" t="s">
        <v>144</v>
      </c>
      <c r="EF10" s="42"/>
      <c r="EG10" s="146" t="s">
        <v>138</v>
      </c>
      <c r="EH10" s="160" t="s">
        <v>142</v>
      </c>
      <c r="EI10" s="161" t="s">
        <v>143</v>
      </c>
      <c r="EJ10" s="146" t="s">
        <v>144</v>
      </c>
      <c r="EK10" s="42"/>
      <c r="EL10" s="146" t="s">
        <v>138</v>
      </c>
      <c r="EM10" s="160" t="s">
        <v>142</v>
      </c>
      <c r="EN10" s="161" t="s">
        <v>143</v>
      </c>
      <c r="EO10" s="146" t="s">
        <v>144</v>
      </c>
      <c r="EP10" s="42"/>
      <c r="EQ10" s="146" t="s">
        <v>138</v>
      </c>
      <c r="ER10" s="160" t="s">
        <v>142</v>
      </c>
      <c r="ES10" s="161" t="s">
        <v>143</v>
      </c>
      <c r="ET10" s="146" t="s">
        <v>144</v>
      </c>
      <c r="EU10" s="42"/>
      <c r="EV10" s="146" t="s">
        <v>138</v>
      </c>
      <c r="EW10" s="160" t="s">
        <v>142</v>
      </c>
      <c r="EX10" s="161" t="s">
        <v>143</v>
      </c>
      <c r="EY10" s="146" t="s">
        <v>144</v>
      </c>
      <c r="EZ10" s="42"/>
      <c r="FA10" s="146" t="s">
        <v>138</v>
      </c>
      <c r="FB10" s="160" t="s">
        <v>142</v>
      </c>
      <c r="FC10" s="161" t="s">
        <v>143</v>
      </c>
      <c r="FD10" s="146" t="s">
        <v>144</v>
      </c>
      <c r="FE10" s="42"/>
      <c r="FF10" s="146" t="s">
        <v>138</v>
      </c>
      <c r="FG10" s="160" t="s">
        <v>142</v>
      </c>
      <c r="FH10" s="161" t="s">
        <v>143</v>
      </c>
      <c r="FI10" s="146" t="s">
        <v>144</v>
      </c>
      <c r="FJ10" s="42"/>
      <c r="FK10" s="146" t="s">
        <v>138</v>
      </c>
      <c r="FL10" s="160" t="s">
        <v>142</v>
      </c>
      <c r="FM10" s="161" t="s">
        <v>143</v>
      </c>
      <c r="FN10" s="146" t="s">
        <v>144</v>
      </c>
      <c r="FO10" s="42"/>
      <c r="FP10" s="146" t="s">
        <v>138</v>
      </c>
      <c r="FQ10" s="160" t="s">
        <v>142</v>
      </c>
      <c r="FR10" s="161" t="s">
        <v>143</v>
      </c>
      <c r="FS10" s="146" t="s">
        <v>144</v>
      </c>
      <c r="FT10" s="42"/>
      <c r="FU10" s="146" t="s">
        <v>138</v>
      </c>
      <c r="FV10" s="160" t="s">
        <v>142</v>
      </c>
      <c r="FW10" s="161" t="s">
        <v>143</v>
      </c>
      <c r="FX10" s="146" t="s">
        <v>144</v>
      </c>
      <c r="FY10" s="42"/>
      <c r="FZ10" s="146" t="s">
        <v>138</v>
      </c>
      <c r="GA10" s="160" t="s">
        <v>142</v>
      </c>
      <c r="GB10" s="161" t="s">
        <v>143</v>
      </c>
      <c r="GC10" s="146" t="s">
        <v>144</v>
      </c>
      <c r="GD10" s="42"/>
      <c r="GE10" s="146" t="s">
        <v>138</v>
      </c>
      <c r="GF10" s="160" t="s">
        <v>142</v>
      </c>
      <c r="GG10" s="161" t="s">
        <v>143</v>
      </c>
      <c r="GH10" s="146" t="s">
        <v>144</v>
      </c>
      <c r="GI10" s="42"/>
      <c r="GJ10" s="146" t="s">
        <v>138</v>
      </c>
      <c r="GK10" s="160" t="s">
        <v>142</v>
      </c>
      <c r="GL10" s="161" t="s">
        <v>143</v>
      </c>
      <c r="GM10" s="146" t="s">
        <v>144</v>
      </c>
      <c r="GN10" s="42"/>
      <c r="GO10" s="146" t="s">
        <v>138</v>
      </c>
      <c r="GP10" s="160" t="s">
        <v>142</v>
      </c>
      <c r="GQ10" s="161" t="s">
        <v>143</v>
      </c>
      <c r="GR10" s="146" t="s">
        <v>144</v>
      </c>
      <c r="GS10" s="42"/>
      <c r="GT10" s="146" t="s">
        <v>138</v>
      </c>
      <c r="GU10" s="160" t="s">
        <v>142</v>
      </c>
      <c r="GV10" s="161" t="s">
        <v>143</v>
      </c>
      <c r="GW10" s="146" t="s">
        <v>144</v>
      </c>
      <c r="GX10" s="42"/>
      <c r="GY10" s="146" t="s">
        <v>138</v>
      </c>
      <c r="GZ10" s="160" t="s">
        <v>142</v>
      </c>
      <c r="HA10" s="161" t="s">
        <v>143</v>
      </c>
      <c r="HB10" s="146" t="s">
        <v>144</v>
      </c>
      <c r="HC10" s="42"/>
      <c r="HD10" s="146" t="s">
        <v>138</v>
      </c>
      <c r="HE10" s="160" t="s">
        <v>142</v>
      </c>
      <c r="HF10" s="161" t="s">
        <v>143</v>
      </c>
      <c r="HG10" s="146" t="s">
        <v>144</v>
      </c>
      <c r="HH10" s="42"/>
      <c r="HI10" s="146" t="s">
        <v>138</v>
      </c>
      <c r="HJ10" s="160" t="s">
        <v>142</v>
      </c>
      <c r="HK10" s="161" t="s">
        <v>143</v>
      </c>
      <c r="HL10" s="146" t="s">
        <v>144</v>
      </c>
      <c r="HM10" s="42"/>
      <c r="HN10" s="146" t="s">
        <v>138</v>
      </c>
      <c r="HO10" s="160" t="s">
        <v>142</v>
      </c>
      <c r="HP10" s="161" t="s">
        <v>143</v>
      </c>
      <c r="HQ10" s="146" t="s">
        <v>144</v>
      </c>
      <c r="HR10" s="42"/>
      <c r="HS10" s="146" t="s">
        <v>138</v>
      </c>
      <c r="HT10" s="160" t="s">
        <v>142</v>
      </c>
      <c r="HU10" s="161" t="s">
        <v>143</v>
      </c>
      <c r="HV10" s="146" t="s">
        <v>144</v>
      </c>
      <c r="HW10" s="42"/>
      <c r="HX10" s="146" t="s">
        <v>138</v>
      </c>
      <c r="HY10" s="160" t="s">
        <v>142</v>
      </c>
      <c r="HZ10" s="161" t="s">
        <v>143</v>
      </c>
      <c r="IA10" s="146" t="s">
        <v>144</v>
      </c>
      <c r="IB10" s="42"/>
      <c r="IC10" s="146" t="s">
        <v>138</v>
      </c>
      <c r="ID10" s="160" t="s">
        <v>142</v>
      </c>
      <c r="IE10" s="161" t="s">
        <v>143</v>
      </c>
      <c r="IF10" s="146" t="s">
        <v>144</v>
      </c>
      <c r="IG10" s="42"/>
      <c r="IH10" s="146" t="s">
        <v>138</v>
      </c>
      <c r="II10" s="160" t="s">
        <v>142</v>
      </c>
      <c r="IJ10" s="161" t="s">
        <v>143</v>
      </c>
      <c r="IK10" s="146" t="s">
        <v>144</v>
      </c>
      <c r="IL10" s="42"/>
      <c r="IM10" s="146" t="s">
        <v>138</v>
      </c>
      <c r="IN10" s="160" t="s">
        <v>142</v>
      </c>
      <c r="IO10" s="161" t="s">
        <v>143</v>
      </c>
      <c r="IP10" s="146" t="s">
        <v>144</v>
      </c>
      <c r="IQ10" s="42"/>
    </row>
    <row r="11" spans="1:251" x14ac:dyDescent="0.2">
      <c r="A11" s="42"/>
      <c r="B11" s="107" t="s">
        <v>177</v>
      </c>
      <c r="C11" s="104">
        <v>1</v>
      </c>
      <c r="D11" s="54"/>
      <c r="E11" s="53"/>
      <c r="F11" s="74"/>
      <c r="G11" s="107" t="s">
        <v>78</v>
      </c>
      <c r="H11" s="104">
        <v>1</v>
      </c>
      <c r="I11" s="54"/>
      <c r="J11" s="53"/>
      <c r="K11" s="74"/>
      <c r="L11" s="107" t="s">
        <v>176</v>
      </c>
      <c r="M11" s="104">
        <v>1</v>
      </c>
      <c r="N11" s="54"/>
      <c r="O11" s="53"/>
      <c r="P11" s="74"/>
      <c r="Q11" s="107"/>
      <c r="R11" s="104"/>
      <c r="S11" s="54"/>
      <c r="T11" s="53"/>
      <c r="U11" s="42"/>
      <c r="V11" s="107"/>
      <c r="W11" s="104"/>
      <c r="X11" s="54"/>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 type="list" allowBlank="1" sqref="S7">
      <formula1>NameLabelRange</formula1>
    </dataValidation>
    <dataValidation type="list" allowBlank="1" sqref="B12">
      <formula1>NameLabelRange</formula1>
    </dataValidation>
    <dataValidation type="list" allowBlank="1" sqref="I11">
      <formula1>Resources</formula1>
    </dataValidation>
    <dataValidation type="list" allowBlank="1" sqref="D7">
      <formula1>NameLabelRange</formula1>
    </dataValidation>
    <dataValidation type="list" allowBlank="1" sqref="D8">
      <formula1>DistributionsWorkStations</formula1>
    </dataValidation>
    <dataValidation type="list" allowBlank="1" sqref="B11">
      <formula1>NameLabelRange</formula1>
    </dataValidation>
    <dataValidation type="list" allowBlank="1" sqref="C11">
      <formula1>WSNumOutputObjects</formula1>
    </dataValidation>
    <dataValidation type="list" allowBlank="1" sqref="I7">
      <formula1>NameLabelRange</formula1>
    </dataValidation>
    <dataValidation type="list" allowBlank="1" sqref="I8">
      <formula1>DistributionsWorkStations</formula1>
    </dataValidation>
    <dataValidation type="list" allowBlank="1" sqref="G11">
      <formula1>NameLabelRange</formula1>
    </dataValidation>
    <dataValidation type="list" allowBlank="1" sqref="H11">
      <formula1>WSNumOutputObjects</formula1>
    </dataValidation>
    <dataValidation type="list" allowBlank="1" sqref="N7">
      <formula1>NameLabelRange</formula1>
    </dataValidation>
    <dataValidation type="list" allowBlank="1" sqref="N8">
      <formula1>DistributionsWorkStations</formula1>
    </dataValidation>
    <dataValidation type="list" allowBlank="1" sqref="L11">
      <formula1>NameLabelRange</formula1>
    </dataValidation>
    <dataValidation type="list" allowBlank="1" sqref="M11">
      <formula1>WSNumOutputObjects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L10" sqref="L10"/>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135</v>
      </c>
      <c r="C7" s="104" t="s">
        <v>171</v>
      </c>
      <c r="D7" s="3"/>
      <c r="E7" s="118" t="s">
        <v>135</v>
      </c>
      <c r="F7" s="104" t="s">
        <v>173</v>
      </c>
      <c r="G7" s="3"/>
      <c r="H7" s="118" t="s">
        <v>135</v>
      </c>
      <c r="I7" s="104" t="s">
        <v>174</v>
      </c>
      <c r="J7" s="3"/>
      <c r="K7" s="118" t="s">
        <v>135</v>
      </c>
      <c r="L7" s="104" t="s">
        <v>176</v>
      </c>
      <c r="M7" s="3"/>
      <c r="N7" s="118" t="s">
        <v>135</v>
      </c>
      <c r="O7" s="104"/>
      <c r="P7" s="3"/>
      <c r="Q7" s="118" t="s">
        <v>135</v>
      </c>
      <c r="R7" s="104"/>
      <c r="S7" s="3"/>
      <c r="T7" s="118" t="s">
        <v>135</v>
      </c>
      <c r="U7" s="104"/>
      <c r="V7" s="3"/>
      <c r="W7" s="118" t="s">
        <v>135</v>
      </c>
      <c r="X7" s="104"/>
      <c r="Y7" s="3"/>
      <c r="Z7" s="118" t="s">
        <v>135</v>
      </c>
      <c r="AA7" s="104"/>
      <c r="AB7" s="3"/>
      <c r="AC7" s="118" t="s">
        <v>135</v>
      </c>
      <c r="AD7" s="104"/>
      <c r="AE7" s="3"/>
      <c r="AF7" s="118" t="s">
        <v>135</v>
      </c>
      <c r="AG7" s="104"/>
      <c r="AH7" s="3"/>
      <c r="AI7" s="118" t="s">
        <v>135</v>
      </c>
      <c r="AJ7" s="104"/>
      <c r="AK7" s="3"/>
      <c r="AL7" s="118" t="s">
        <v>135</v>
      </c>
      <c r="AM7" s="104"/>
      <c r="AN7" s="3"/>
      <c r="AO7" s="118" t="s">
        <v>135</v>
      </c>
      <c r="AP7" s="104"/>
      <c r="AQ7" s="3"/>
      <c r="AR7" s="118" t="s">
        <v>135</v>
      </c>
      <c r="AS7" s="104"/>
      <c r="AT7" s="3"/>
      <c r="AU7" s="118" t="s">
        <v>135</v>
      </c>
      <c r="AV7" s="104"/>
      <c r="AW7" s="3"/>
      <c r="AX7" s="118" t="s">
        <v>135</v>
      </c>
      <c r="AY7" s="104"/>
      <c r="AZ7" s="3"/>
      <c r="BA7" s="118" t="s">
        <v>135</v>
      </c>
      <c r="BB7" s="104"/>
      <c r="BC7" s="3"/>
      <c r="BD7" s="118" t="s">
        <v>135</v>
      </c>
      <c r="BE7" s="104"/>
      <c r="BF7" s="3"/>
      <c r="BG7" s="118" t="s">
        <v>135</v>
      </c>
      <c r="BH7" s="104"/>
      <c r="BI7" s="3"/>
      <c r="BJ7" s="118" t="s">
        <v>135</v>
      </c>
      <c r="BK7" s="104"/>
      <c r="BL7" s="3"/>
      <c r="BM7" s="118" t="s">
        <v>135</v>
      </c>
      <c r="BN7" s="104"/>
      <c r="BO7" s="3"/>
      <c r="BP7" s="118" t="s">
        <v>135</v>
      </c>
      <c r="BQ7" s="104"/>
      <c r="BR7" s="3"/>
      <c r="BS7" s="118" t="s">
        <v>135</v>
      </c>
      <c r="BT7" s="104"/>
      <c r="BU7" s="3"/>
      <c r="BV7" s="118" t="s">
        <v>135</v>
      </c>
      <c r="BW7" s="104"/>
      <c r="BX7" s="3"/>
      <c r="BY7" s="118" t="s">
        <v>135</v>
      </c>
      <c r="BZ7" s="104"/>
      <c r="CA7" s="3"/>
      <c r="CB7" s="118" t="s">
        <v>135</v>
      </c>
      <c r="CC7" s="104"/>
      <c r="CD7" s="3"/>
      <c r="CE7" s="118" t="s">
        <v>135</v>
      </c>
      <c r="CF7" s="104"/>
      <c r="CG7" s="3"/>
      <c r="CH7" s="118" t="s">
        <v>135</v>
      </c>
      <c r="CI7" s="104"/>
      <c r="CJ7" s="3"/>
      <c r="CK7" s="118" t="s">
        <v>135</v>
      </c>
      <c r="CL7" s="104"/>
      <c r="CM7" s="3"/>
      <c r="CN7" s="118" t="s">
        <v>135</v>
      </c>
      <c r="CO7" s="104"/>
      <c r="CP7" s="3"/>
      <c r="CQ7" s="118" t="s">
        <v>135</v>
      </c>
      <c r="CR7" s="104"/>
      <c r="CS7" s="3"/>
      <c r="CT7" s="118" t="s">
        <v>135</v>
      </c>
      <c r="CU7" s="104"/>
      <c r="CV7" s="3"/>
      <c r="CW7" s="118" t="s">
        <v>135</v>
      </c>
      <c r="CX7" s="104"/>
      <c r="CY7" s="3"/>
      <c r="CZ7" s="118" t="s">
        <v>135</v>
      </c>
      <c r="DA7" s="104"/>
      <c r="DB7" s="3"/>
      <c r="DC7" s="118" t="s">
        <v>135</v>
      </c>
      <c r="DD7" s="104"/>
      <c r="DE7" s="3"/>
      <c r="DF7" s="118" t="s">
        <v>135</v>
      </c>
      <c r="DG7" s="104"/>
      <c r="DH7" s="3"/>
      <c r="DI7" s="118" t="s">
        <v>135</v>
      </c>
      <c r="DJ7" s="104"/>
      <c r="DK7" s="3"/>
      <c r="DL7" s="118" t="s">
        <v>135</v>
      </c>
      <c r="DM7" s="104"/>
      <c r="DN7" s="3"/>
      <c r="DO7" s="118" t="s">
        <v>135</v>
      </c>
      <c r="DP7" s="104"/>
      <c r="DQ7" s="3"/>
      <c r="DR7" s="118" t="s">
        <v>135</v>
      </c>
      <c r="DS7" s="104"/>
      <c r="DT7" s="3"/>
      <c r="DU7" s="118" t="s">
        <v>135</v>
      </c>
      <c r="DV7" s="104"/>
      <c r="DW7" s="3"/>
      <c r="DX7" s="118" t="s">
        <v>135</v>
      </c>
      <c r="DY7" s="104"/>
      <c r="DZ7" s="3"/>
      <c r="EA7" s="118" t="s">
        <v>135</v>
      </c>
      <c r="EB7" s="104"/>
      <c r="EC7" s="3"/>
      <c r="ED7" s="118" t="s">
        <v>135</v>
      </c>
      <c r="EE7" s="104"/>
      <c r="EF7" s="3"/>
      <c r="EG7" s="118" t="s">
        <v>135</v>
      </c>
      <c r="EH7" s="104"/>
      <c r="EI7" s="3"/>
      <c r="EJ7" s="118" t="s">
        <v>135</v>
      </c>
      <c r="EK7" s="104"/>
      <c r="EL7" s="3"/>
      <c r="EM7" s="118" t="s">
        <v>135</v>
      </c>
      <c r="EN7" s="104"/>
      <c r="EO7" s="3"/>
      <c r="EP7" s="118" t="s">
        <v>135</v>
      </c>
      <c r="EQ7" s="104"/>
      <c r="ER7" s="3"/>
      <c r="ES7" s="118" t="s">
        <v>135</v>
      </c>
      <c r="ET7" s="104"/>
      <c r="EU7" s="3"/>
    </row>
    <row r="8" spans="1:151" x14ac:dyDescent="0.2">
      <c r="A8" s="3"/>
      <c r="B8" s="159" t="s">
        <v>145</v>
      </c>
      <c r="C8" s="116" t="s">
        <v>112</v>
      </c>
      <c r="D8" s="3"/>
      <c r="E8" s="159" t="s">
        <v>145</v>
      </c>
      <c r="F8" s="116" t="s">
        <v>112</v>
      </c>
      <c r="G8" s="3"/>
      <c r="H8" s="159" t="s">
        <v>145</v>
      </c>
      <c r="I8" s="116" t="s">
        <v>112</v>
      </c>
      <c r="J8" s="3"/>
      <c r="K8" s="159" t="s">
        <v>145</v>
      </c>
      <c r="L8" s="116" t="s">
        <v>112</v>
      </c>
      <c r="M8" s="3"/>
      <c r="N8" s="159" t="s">
        <v>145</v>
      </c>
      <c r="O8" s="116"/>
      <c r="P8" s="3"/>
      <c r="Q8" s="159" t="s">
        <v>145</v>
      </c>
      <c r="R8" s="116"/>
      <c r="S8" s="3"/>
      <c r="T8" s="159" t="s">
        <v>145</v>
      </c>
      <c r="U8" s="116"/>
      <c r="V8" s="3"/>
      <c r="W8" s="159" t="s">
        <v>145</v>
      </c>
      <c r="X8" s="116"/>
      <c r="Y8" s="3"/>
      <c r="Z8" s="159" t="s">
        <v>145</v>
      </c>
      <c r="AA8" s="116"/>
      <c r="AB8" s="3"/>
      <c r="AC8" s="159" t="s">
        <v>145</v>
      </c>
      <c r="AD8" s="116"/>
      <c r="AE8" s="3"/>
      <c r="AF8" s="159" t="s">
        <v>145</v>
      </c>
      <c r="AG8" s="116"/>
      <c r="AH8" s="3"/>
      <c r="AI8" s="159" t="s">
        <v>145</v>
      </c>
      <c r="AJ8" s="116"/>
      <c r="AK8" s="3"/>
      <c r="AL8" s="159" t="s">
        <v>145</v>
      </c>
      <c r="AM8" s="116"/>
      <c r="AN8" s="3"/>
      <c r="AO8" s="159" t="s">
        <v>145</v>
      </c>
      <c r="AP8" s="116"/>
      <c r="AQ8" s="3"/>
      <c r="AR8" s="159" t="s">
        <v>145</v>
      </c>
      <c r="AS8" s="116"/>
      <c r="AT8" s="3"/>
      <c r="AU8" s="159" t="s">
        <v>145</v>
      </c>
      <c r="AV8" s="116"/>
      <c r="AW8" s="3"/>
      <c r="AX8" s="159" t="s">
        <v>145</v>
      </c>
      <c r="AY8" s="116"/>
      <c r="AZ8" s="3"/>
      <c r="BA8" s="159" t="s">
        <v>145</v>
      </c>
      <c r="BB8" s="116"/>
      <c r="BC8" s="3"/>
      <c r="BD8" s="159" t="s">
        <v>145</v>
      </c>
      <c r="BE8" s="116"/>
      <c r="BF8" s="3"/>
      <c r="BG8" s="159" t="s">
        <v>145</v>
      </c>
      <c r="BH8" s="116"/>
      <c r="BI8" s="3"/>
      <c r="BJ8" s="159" t="s">
        <v>145</v>
      </c>
      <c r="BK8" s="116"/>
      <c r="BL8" s="3"/>
      <c r="BM8" s="159" t="s">
        <v>145</v>
      </c>
      <c r="BN8" s="116"/>
      <c r="BO8" s="3"/>
      <c r="BP8" s="159" t="s">
        <v>145</v>
      </c>
      <c r="BQ8" s="116"/>
      <c r="BR8" s="3"/>
      <c r="BS8" s="159" t="s">
        <v>145</v>
      </c>
      <c r="BT8" s="116"/>
      <c r="BU8" s="3"/>
      <c r="BV8" s="159" t="s">
        <v>145</v>
      </c>
      <c r="BW8" s="116"/>
      <c r="BX8" s="3"/>
      <c r="BY8" s="159" t="s">
        <v>145</v>
      </c>
      <c r="BZ8" s="116"/>
      <c r="CA8" s="3"/>
      <c r="CB8" s="159" t="s">
        <v>145</v>
      </c>
      <c r="CC8" s="116"/>
      <c r="CD8" s="3"/>
      <c r="CE8" s="159" t="s">
        <v>145</v>
      </c>
      <c r="CF8" s="116"/>
      <c r="CG8" s="3"/>
      <c r="CH8" s="159" t="s">
        <v>145</v>
      </c>
      <c r="CI8" s="116"/>
      <c r="CJ8" s="3"/>
      <c r="CK8" s="159" t="s">
        <v>145</v>
      </c>
      <c r="CL8" s="116"/>
      <c r="CM8" s="3"/>
      <c r="CN8" s="159" t="s">
        <v>145</v>
      </c>
      <c r="CO8" s="116"/>
      <c r="CP8" s="3"/>
      <c r="CQ8" s="159" t="s">
        <v>145</v>
      </c>
      <c r="CR8" s="116"/>
      <c r="CS8" s="3"/>
      <c r="CT8" s="159" t="s">
        <v>145</v>
      </c>
      <c r="CU8" s="116"/>
      <c r="CV8" s="3"/>
      <c r="CW8" s="159" t="s">
        <v>145</v>
      </c>
      <c r="CX8" s="116"/>
      <c r="CY8" s="3"/>
      <c r="CZ8" s="159" t="s">
        <v>145</v>
      </c>
      <c r="DA8" s="116"/>
      <c r="DB8" s="3"/>
      <c r="DC8" s="159" t="s">
        <v>145</v>
      </c>
      <c r="DD8" s="116"/>
      <c r="DE8" s="3"/>
      <c r="DF8" s="159" t="s">
        <v>145</v>
      </c>
      <c r="DG8" s="116"/>
      <c r="DH8" s="3"/>
      <c r="DI8" s="159" t="s">
        <v>145</v>
      </c>
      <c r="DJ8" s="116"/>
      <c r="DK8" s="3"/>
      <c r="DL8" s="159" t="s">
        <v>145</v>
      </c>
      <c r="DM8" s="116"/>
      <c r="DN8" s="3"/>
      <c r="DO8" s="159" t="s">
        <v>145</v>
      </c>
      <c r="DP8" s="116"/>
      <c r="DQ8" s="3"/>
      <c r="DR8" s="159" t="s">
        <v>145</v>
      </c>
      <c r="DS8" s="116"/>
      <c r="DT8" s="3"/>
      <c r="DU8" s="159" t="s">
        <v>145</v>
      </c>
      <c r="DV8" s="116"/>
      <c r="DW8" s="3"/>
      <c r="DX8" s="159" t="s">
        <v>145</v>
      </c>
      <c r="DY8" s="116"/>
      <c r="DZ8" s="3"/>
      <c r="EA8" s="159" t="s">
        <v>145</v>
      </c>
      <c r="EB8" s="116"/>
      <c r="EC8" s="3"/>
      <c r="ED8" s="159" t="s">
        <v>145</v>
      </c>
      <c r="EE8" s="116"/>
      <c r="EF8" s="3"/>
      <c r="EG8" s="159" t="s">
        <v>145</v>
      </c>
      <c r="EH8" s="116"/>
      <c r="EI8" s="3"/>
      <c r="EJ8" s="159" t="s">
        <v>145</v>
      </c>
      <c r="EK8" s="116"/>
      <c r="EL8" s="3"/>
      <c r="EM8" s="159" t="s">
        <v>145</v>
      </c>
      <c r="EN8" s="116"/>
      <c r="EO8" s="3"/>
      <c r="EP8" s="159" t="s">
        <v>145</v>
      </c>
      <c r="EQ8" s="116"/>
      <c r="ER8" s="3"/>
      <c r="ES8" s="159" t="s">
        <v>145</v>
      </c>
      <c r="ET8" s="116"/>
      <c r="EU8" s="3"/>
    </row>
    <row r="9" spans="1:151" ht="13.5" thickBot="1" x14ac:dyDescent="0.25">
      <c r="A9" s="3"/>
      <c r="B9" s="146" t="s">
        <v>146</v>
      </c>
      <c r="C9" s="60">
        <v>200</v>
      </c>
      <c r="D9" s="3"/>
      <c r="E9" s="146" t="s">
        <v>146</v>
      </c>
      <c r="F9" s="60">
        <v>0</v>
      </c>
      <c r="G9" s="3"/>
      <c r="H9" s="146" t="s">
        <v>146</v>
      </c>
      <c r="I9" s="60">
        <v>0</v>
      </c>
      <c r="J9" s="3"/>
      <c r="K9" s="146" t="s">
        <v>146</v>
      </c>
      <c r="L9" s="60">
        <v>0</v>
      </c>
      <c r="M9" s="3"/>
      <c r="N9" s="146" t="s">
        <v>146</v>
      </c>
      <c r="O9" s="60"/>
      <c r="P9" s="3"/>
      <c r="Q9" s="146" t="s">
        <v>146</v>
      </c>
      <c r="R9" s="60"/>
      <c r="S9" s="3"/>
      <c r="T9" s="146" t="s">
        <v>146</v>
      </c>
      <c r="U9" s="60"/>
      <c r="V9" s="3"/>
      <c r="W9" s="146" t="s">
        <v>146</v>
      </c>
      <c r="X9" s="60"/>
      <c r="Y9" s="3"/>
      <c r="Z9" s="146" t="s">
        <v>146</v>
      </c>
      <c r="AA9" s="60"/>
      <c r="AB9" s="3"/>
      <c r="AC9" s="146" t="s">
        <v>146</v>
      </c>
      <c r="AD9" s="60"/>
      <c r="AE9" s="3"/>
      <c r="AF9" s="146" t="s">
        <v>146</v>
      </c>
      <c r="AG9" s="60"/>
      <c r="AH9" s="3"/>
      <c r="AI9" s="146" t="s">
        <v>146</v>
      </c>
      <c r="AJ9" s="60"/>
      <c r="AK9" s="3"/>
      <c r="AL9" s="146" t="s">
        <v>146</v>
      </c>
      <c r="AM9" s="60"/>
      <c r="AN9" s="3"/>
      <c r="AO9" s="146" t="s">
        <v>146</v>
      </c>
      <c r="AP9" s="60"/>
      <c r="AQ9" s="3"/>
      <c r="AR9" s="146" t="s">
        <v>146</v>
      </c>
      <c r="AS9" s="60"/>
      <c r="AT9" s="3"/>
      <c r="AU9" s="146" t="s">
        <v>146</v>
      </c>
      <c r="AV9" s="60"/>
      <c r="AW9" s="3"/>
      <c r="AX9" s="146" t="s">
        <v>146</v>
      </c>
      <c r="AY9" s="60"/>
      <c r="AZ9" s="3"/>
      <c r="BA9" s="146" t="s">
        <v>146</v>
      </c>
      <c r="BB9" s="60"/>
      <c r="BC9" s="3"/>
      <c r="BD9" s="146" t="s">
        <v>146</v>
      </c>
      <c r="BE9" s="60"/>
      <c r="BF9" s="3"/>
      <c r="BG9" s="146" t="s">
        <v>146</v>
      </c>
      <c r="BH9" s="60"/>
      <c r="BI9" s="3"/>
      <c r="BJ9" s="146" t="s">
        <v>146</v>
      </c>
      <c r="BK9" s="60"/>
      <c r="BL9" s="3"/>
      <c r="BM9" s="146" t="s">
        <v>146</v>
      </c>
      <c r="BN9" s="60"/>
      <c r="BO9" s="3"/>
      <c r="BP9" s="146" t="s">
        <v>146</v>
      </c>
      <c r="BQ9" s="60"/>
      <c r="BR9" s="3"/>
      <c r="BS9" s="146" t="s">
        <v>146</v>
      </c>
      <c r="BT9" s="60"/>
      <c r="BU9" s="3"/>
      <c r="BV9" s="146" t="s">
        <v>146</v>
      </c>
      <c r="BW9" s="60"/>
      <c r="BX9" s="3"/>
      <c r="BY9" s="146" t="s">
        <v>146</v>
      </c>
      <c r="BZ9" s="60"/>
      <c r="CA9" s="3"/>
      <c r="CB9" s="146" t="s">
        <v>146</v>
      </c>
      <c r="CC9" s="60"/>
      <c r="CD9" s="3"/>
      <c r="CE9" s="146" t="s">
        <v>146</v>
      </c>
      <c r="CF9" s="60"/>
      <c r="CG9" s="3"/>
      <c r="CH9" s="146" t="s">
        <v>146</v>
      </c>
      <c r="CI9" s="60"/>
      <c r="CJ9" s="3"/>
      <c r="CK9" s="146" t="s">
        <v>146</v>
      </c>
      <c r="CL9" s="60"/>
      <c r="CM9" s="3"/>
      <c r="CN9" s="146" t="s">
        <v>146</v>
      </c>
      <c r="CO9" s="60"/>
      <c r="CP9" s="3"/>
      <c r="CQ9" s="146" t="s">
        <v>146</v>
      </c>
      <c r="CR9" s="60"/>
      <c r="CS9" s="3"/>
      <c r="CT9" s="146" t="s">
        <v>146</v>
      </c>
      <c r="CU9" s="60"/>
      <c r="CV9" s="3"/>
      <c r="CW9" s="146" t="s">
        <v>146</v>
      </c>
      <c r="CX9" s="60"/>
      <c r="CY9" s="3"/>
      <c r="CZ9" s="146" t="s">
        <v>146</v>
      </c>
      <c r="DA9" s="60"/>
      <c r="DB9" s="3"/>
      <c r="DC9" s="146" t="s">
        <v>146</v>
      </c>
      <c r="DD9" s="60"/>
      <c r="DE9" s="3"/>
      <c r="DF9" s="146" t="s">
        <v>146</v>
      </c>
      <c r="DG9" s="60"/>
      <c r="DH9" s="3"/>
      <c r="DI9" s="146" t="s">
        <v>146</v>
      </c>
      <c r="DJ9" s="60"/>
      <c r="DK9" s="3"/>
      <c r="DL9" s="146" t="s">
        <v>146</v>
      </c>
      <c r="DM9" s="60"/>
      <c r="DN9" s="3"/>
      <c r="DO9" s="146" t="s">
        <v>146</v>
      </c>
      <c r="DP9" s="60"/>
      <c r="DQ9" s="3"/>
      <c r="DR9" s="146" t="s">
        <v>146</v>
      </c>
      <c r="DS9" s="60"/>
      <c r="DT9" s="3"/>
      <c r="DU9" s="146" t="s">
        <v>146</v>
      </c>
      <c r="DV9" s="60"/>
      <c r="DW9" s="3"/>
      <c r="DX9" s="146" t="s">
        <v>146</v>
      </c>
      <c r="DY9" s="60"/>
      <c r="DZ9" s="3"/>
      <c r="EA9" s="146" t="s">
        <v>146</v>
      </c>
      <c r="EB9" s="60"/>
      <c r="EC9" s="3"/>
      <c r="ED9" s="146" t="s">
        <v>146</v>
      </c>
      <c r="EE9" s="60"/>
      <c r="EF9" s="3"/>
      <c r="EG9" s="146" t="s">
        <v>146</v>
      </c>
      <c r="EH9" s="60"/>
      <c r="EI9" s="3"/>
      <c r="EJ9" s="146" t="s">
        <v>146</v>
      </c>
      <c r="EK9" s="60"/>
      <c r="EL9" s="3"/>
      <c r="EM9" s="146" t="s">
        <v>146</v>
      </c>
      <c r="EN9" s="60"/>
      <c r="EO9" s="3"/>
      <c r="EP9" s="146" t="s">
        <v>146</v>
      </c>
      <c r="EQ9" s="60"/>
      <c r="ER9" s="3"/>
      <c r="ES9" s="146" t="s">
        <v>146</v>
      </c>
      <c r="ET9" s="60"/>
      <c r="EU9" s="3"/>
    </row>
    <row r="10" spans="1:151" x14ac:dyDescent="0.2">
      <c r="A10" s="3"/>
      <c r="B10" s="152" t="s">
        <v>10</v>
      </c>
      <c r="C10" s="39" t="s">
        <v>10</v>
      </c>
      <c r="D10" s="3"/>
      <c r="E10" s="152" t="s">
        <v>10</v>
      </c>
      <c r="F10" s="39" t="s">
        <v>10</v>
      </c>
      <c r="G10" s="3"/>
      <c r="H10" s="152" t="s">
        <v>10</v>
      </c>
      <c r="I10" s="39" t="s">
        <v>10</v>
      </c>
      <c r="J10" s="3"/>
      <c r="K10" s="152" t="s">
        <v>10</v>
      </c>
      <c r="L10" s="39" t="s">
        <v>10</v>
      </c>
      <c r="M10" s="3"/>
      <c r="N10" s="152" t="s">
        <v>10</v>
      </c>
      <c r="O10" s="39" t="s">
        <v>10</v>
      </c>
      <c r="P10" s="3"/>
      <c r="Q10" s="152" t="s">
        <v>10</v>
      </c>
      <c r="R10" s="39" t="s">
        <v>10</v>
      </c>
      <c r="S10" s="3"/>
      <c r="T10" s="152" t="s">
        <v>10</v>
      </c>
      <c r="U10" s="39" t="s">
        <v>10</v>
      </c>
      <c r="V10" s="3"/>
      <c r="W10" s="152" t="s">
        <v>10</v>
      </c>
      <c r="X10" s="39" t="s">
        <v>10</v>
      </c>
      <c r="Y10" s="3"/>
      <c r="Z10" s="152" t="s">
        <v>10</v>
      </c>
      <c r="AA10" s="39" t="s">
        <v>10</v>
      </c>
      <c r="AB10" s="3"/>
      <c r="AC10" s="152" t="s">
        <v>10</v>
      </c>
      <c r="AD10" s="39" t="s">
        <v>10</v>
      </c>
      <c r="AE10" s="3"/>
      <c r="AF10" s="152" t="s">
        <v>10</v>
      </c>
      <c r="AG10" s="39" t="s">
        <v>10</v>
      </c>
      <c r="AH10" s="3"/>
      <c r="AI10" s="152" t="s">
        <v>10</v>
      </c>
      <c r="AJ10" s="39" t="s">
        <v>10</v>
      </c>
      <c r="AK10" s="3"/>
      <c r="AL10" s="152" t="s">
        <v>10</v>
      </c>
      <c r="AM10" s="39" t="s">
        <v>10</v>
      </c>
      <c r="AN10" s="3"/>
      <c r="AO10" s="152" t="s">
        <v>10</v>
      </c>
      <c r="AP10" s="39" t="s">
        <v>10</v>
      </c>
      <c r="AQ10" s="3"/>
      <c r="AR10" s="152" t="s">
        <v>10</v>
      </c>
      <c r="AS10" s="39" t="s">
        <v>10</v>
      </c>
      <c r="AT10" s="3"/>
      <c r="AU10" s="152" t="s">
        <v>10</v>
      </c>
      <c r="AV10" s="39" t="s">
        <v>10</v>
      </c>
      <c r="AW10" s="3"/>
      <c r="AX10" s="152" t="s">
        <v>10</v>
      </c>
      <c r="AY10" s="39" t="s">
        <v>10</v>
      </c>
      <c r="AZ10" s="3"/>
      <c r="BA10" s="152" t="s">
        <v>10</v>
      </c>
      <c r="BB10" s="39" t="s">
        <v>10</v>
      </c>
      <c r="BC10" s="3"/>
      <c r="BD10" s="152" t="s">
        <v>10</v>
      </c>
      <c r="BE10" s="39" t="s">
        <v>10</v>
      </c>
      <c r="BF10" s="3"/>
      <c r="BG10" s="152" t="s">
        <v>10</v>
      </c>
      <c r="BH10" s="39" t="s">
        <v>10</v>
      </c>
      <c r="BI10" s="3"/>
      <c r="BJ10" s="152" t="s">
        <v>10</v>
      </c>
      <c r="BK10" s="39" t="s">
        <v>10</v>
      </c>
      <c r="BL10" s="3"/>
      <c r="BM10" s="152" t="s">
        <v>10</v>
      </c>
      <c r="BN10" s="39" t="s">
        <v>10</v>
      </c>
      <c r="BO10" s="3"/>
      <c r="BP10" s="152" t="s">
        <v>10</v>
      </c>
      <c r="BQ10" s="39" t="s">
        <v>10</v>
      </c>
      <c r="BR10" s="3"/>
      <c r="BS10" s="152" t="s">
        <v>10</v>
      </c>
      <c r="BT10" s="39" t="s">
        <v>10</v>
      </c>
      <c r="BU10" s="3"/>
      <c r="BV10" s="152" t="s">
        <v>10</v>
      </c>
      <c r="BW10" s="39" t="s">
        <v>10</v>
      </c>
      <c r="BX10" s="3"/>
      <c r="BY10" s="152" t="s">
        <v>10</v>
      </c>
      <c r="BZ10" s="39" t="s">
        <v>10</v>
      </c>
      <c r="CA10" s="3"/>
      <c r="CB10" s="152" t="s">
        <v>10</v>
      </c>
      <c r="CC10" s="39" t="s">
        <v>10</v>
      </c>
      <c r="CD10" s="3"/>
      <c r="CE10" s="152" t="s">
        <v>10</v>
      </c>
      <c r="CF10" s="39" t="s">
        <v>10</v>
      </c>
      <c r="CG10" s="3"/>
      <c r="CH10" s="152" t="s">
        <v>10</v>
      </c>
      <c r="CI10" s="39" t="s">
        <v>10</v>
      </c>
      <c r="CJ10" s="3"/>
      <c r="CK10" s="152" t="s">
        <v>10</v>
      </c>
      <c r="CL10" s="39" t="s">
        <v>10</v>
      </c>
      <c r="CM10" s="3"/>
      <c r="CN10" s="152" t="s">
        <v>10</v>
      </c>
      <c r="CO10" s="39" t="s">
        <v>10</v>
      </c>
      <c r="CP10" s="3"/>
      <c r="CQ10" s="152" t="s">
        <v>10</v>
      </c>
      <c r="CR10" s="39" t="s">
        <v>10</v>
      </c>
      <c r="CS10" s="3"/>
      <c r="CT10" s="152" t="s">
        <v>10</v>
      </c>
      <c r="CU10" s="39" t="s">
        <v>10</v>
      </c>
      <c r="CV10" s="3"/>
      <c r="CW10" s="152" t="s">
        <v>10</v>
      </c>
      <c r="CX10" s="39" t="s">
        <v>10</v>
      </c>
      <c r="CY10" s="3"/>
      <c r="CZ10" s="152" t="s">
        <v>10</v>
      </c>
      <c r="DA10" s="39" t="s">
        <v>10</v>
      </c>
      <c r="DB10" s="3"/>
      <c r="DC10" s="152" t="s">
        <v>10</v>
      </c>
      <c r="DD10" s="39" t="s">
        <v>10</v>
      </c>
      <c r="DE10" s="3"/>
      <c r="DF10" s="152" t="s">
        <v>10</v>
      </c>
      <c r="DG10" s="39" t="s">
        <v>10</v>
      </c>
      <c r="DH10" s="3"/>
      <c r="DI10" s="152" t="s">
        <v>10</v>
      </c>
      <c r="DJ10" s="39" t="s">
        <v>10</v>
      </c>
      <c r="DK10" s="3"/>
      <c r="DL10" s="152" t="s">
        <v>10</v>
      </c>
      <c r="DM10" s="39" t="s">
        <v>10</v>
      </c>
      <c r="DN10" s="3"/>
      <c r="DO10" s="152" t="s">
        <v>10</v>
      </c>
      <c r="DP10" s="39" t="s">
        <v>10</v>
      </c>
      <c r="DQ10" s="3"/>
      <c r="DR10" s="152" t="s">
        <v>10</v>
      </c>
      <c r="DS10" s="39" t="s">
        <v>10</v>
      </c>
      <c r="DT10" s="3"/>
      <c r="DU10" s="152" t="s">
        <v>10</v>
      </c>
      <c r="DV10" s="39" t="s">
        <v>10</v>
      </c>
      <c r="DW10" s="3"/>
      <c r="DX10" s="152" t="s">
        <v>10</v>
      </c>
      <c r="DY10" s="39" t="s">
        <v>10</v>
      </c>
      <c r="DZ10" s="3"/>
      <c r="EA10" s="152" t="s">
        <v>10</v>
      </c>
      <c r="EB10" s="39" t="s">
        <v>10</v>
      </c>
      <c r="EC10" s="3"/>
      <c r="ED10" s="152" t="s">
        <v>10</v>
      </c>
      <c r="EE10" s="39" t="s">
        <v>10</v>
      </c>
      <c r="EF10" s="3"/>
      <c r="EG10" s="152" t="s">
        <v>10</v>
      </c>
      <c r="EH10" s="39" t="s">
        <v>10</v>
      </c>
      <c r="EI10" s="3"/>
      <c r="EJ10" s="152" t="s">
        <v>10</v>
      </c>
      <c r="EK10" s="39" t="s">
        <v>10</v>
      </c>
      <c r="EL10" s="3"/>
      <c r="EM10" s="152" t="s">
        <v>10</v>
      </c>
      <c r="EN10" s="39" t="s">
        <v>10</v>
      </c>
      <c r="EO10" s="3"/>
      <c r="EP10" s="152" t="s">
        <v>10</v>
      </c>
      <c r="EQ10" s="39" t="s">
        <v>10</v>
      </c>
      <c r="ER10" s="3"/>
      <c r="ES10" s="152" t="s">
        <v>10</v>
      </c>
      <c r="ET10" s="39" t="s">
        <v>10</v>
      </c>
      <c r="EU10" s="3"/>
    </row>
    <row r="11" spans="1:151" ht="13.5" thickBot="1" x14ac:dyDescent="0.25">
      <c r="A11" s="3"/>
      <c r="B11" s="161" t="s">
        <v>138</v>
      </c>
      <c r="C11" s="146" t="s">
        <v>147</v>
      </c>
      <c r="D11" s="3"/>
      <c r="E11" s="161" t="s">
        <v>138</v>
      </c>
      <c r="F11" s="146" t="s">
        <v>147</v>
      </c>
      <c r="G11" s="3"/>
      <c r="H11" s="161" t="s">
        <v>138</v>
      </c>
      <c r="I11" s="146" t="s">
        <v>147</v>
      </c>
      <c r="J11" s="3"/>
      <c r="K11" s="161" t="s">
        <v>138</v>
      </c>
      <c r="L11" s="146" t="s">
        <v>147</v>
      </c>
      <c r="M11" s="3"/>
      <c r="N11" s="161" t="s">
        <v>138</v>
      </c>
      <c r="O11" s="146" t="s">
        <v>147</v>
      </c>
      <c r="P11" s="3"/>
      <c r="Q11" s="161" t="s">
        <v>138</v>
      </c>
      <c r="R11" s="146" t="s">
        <v>147</v>
      </c>
      <c r="S11" s="3"/>
      <c r="T11" s="161" t="s">
        <v>138</v>
      </c>
      <c r="U11" s="146" t="s">
        <v>147</v>
      </c>
      <c r="V11" s="3"/>
      <c r="W11" s="161" t="s">
        <v>138</v>
      </c>
      <c r="X11" s="146" t="s">
        <v>147</v>
      </c>
      <c r="Y11" s="3"/>
      <c r="Z11" s="161" t="s">
        <v>138</v>
      </c>
      <c r="AA11" s="146" t="s">
        <v>147</v>
      </c>
      <c r="AB11" s="3"/>
      <c r="AC11" s="161" t="s">
        <v>138</v>
      </c>
      <c r="AD11" s="146" t="s">
        <v>147</v>
      </c>
      <c r="AE11" s="3"/>
      <c r="AF11" s="161" t="s">
        <v>138</v>
      </c>
      <c r="AG11" s="146" t="s">
        <v>147</v>
      </c>
      <c r="AH11" s="3"/>
      <c r="AI11" s="161" t="s">
        <v>138</v>
      </c>
      <c r="AJ11" s="146" t="s">
        <v>147</v>
      </c>
      <c r="AK11" s="3"/>
      <c r="AL11" s="161" t="s">
        <v>138</v>
      </c>
      <c r="AM11" s="146" t="s">
        <v>147</v>
      </c>
      <c r="AN11" s="3"/>
      <c r="AO11" s="161" t="s">
        <v>138</v>
      </c>
      <c r="AP11" s="146" t="s">
        <v>147</v>
      </c>
      <c r="AQ11" s="3"/>
      <c r="AR11" s="161" t="s">
        <v>138</v>
      </c>
      <c r="AS11" s="146" t="s">
        <v>147</v>
      </c>
      <c r="AT11" s="3"/>
      <c r="AU11" s="161" t="s">
        <v>138</v>
      </c>
      <c r="AV11" s="146" t="s">
        <v>147</v>
      </c>
      <c r="AW11" s="3"/>
      <c r="AX11" s="161" t="s">
        <v>138</v>
      </c>
      <c r="AY11" s="146" t="s">
        <v>147</v>
      </c>
      <c r="AZ11" s="3"/>
      <c r="BA11" s="161" t="s">
        <v>138</v>
      </c>
      <c r="BB11" s="146" t="s">
        <v>147</v>
      </c>
      <c r="BC11" s="3"/>
      <c r="BD11" s="161" t="s">
        <v>138</v>
      </c>
      <c r="BE11" s="146" t="s">
        <v>147</v>
      </c>
      <c r="BF11" s="3"/>
      <c r="BG11" s="161" t="s">
        <v>138</v>
      </c>
      <c r="BH11" s="146" t="s">
        <v>147</v>
      </c>
      <c r="BI11" s="3"/>
      <c r="BJ11" s="161" t="s">
        <v>138</v>
      </c>
      <c r="BK11" s="146" t="s">
        <v>147</v>
      </c>
      <c r="BL11" s="3"/>
      <c r="BM11" s="161" t="s">
        <v>138</v>
      </c>
      <c r="BN11" s="146" t="s">
        <v>147</v>
      </c>
      <c r="BO11" s="3"/>
      <c r="BP11" s="161" t="s">
        <v>138</v>
      </c>
      <c r="BQ11" s="146" t="s">
        <v>147</v>
      </c>
      <c r="BR11" s="3"/>
      <c r="BS11" s="161" t="s">
        <v>138</v>
      </c>
      <c r="BT11" s="146" t="s">
        <v>147</v>
      </c>
      <c r="BU11" s="3"/>
      <c r="BV11" s="161" t="s">
        <v>138</v>
      </c>
      <c r="BW11" s="146" t="s">
        <v>147</v>
      </c>
      <c r="BX11" s="3"/>
      <c r="BY11" s="161" t="s">
        <v>138</v>
      </c>
      <c r="BZ11" s="146" t="s">
        <v>147</v>
      </c>
      <c r="CA11" s="3"/>
      <c r="CB11" s="161" t="s">
        <v>138</v>
      </c>
      <c r="CC11" s="146" t="s">
        <v>147</v>
      </c>
      <c r="CD11" s="3"/>
      <c r="CE11" s="161" t="s">
        <v>138</v>
      </c>
      <c r="CF11" s="146" t="s">
        <v>147</v>
      </c>
      <c r="CG11" s="3"/>
      <c r="CH11" s="161" t="s">
        <v>138</v>
      </c>
      <c r="CI11" s="146" t="s">
        <v>147</v>
      </c>
      <c r="CJ11" s="3"/>
      <c r="CK11" s="161" t="s">
        <v>138</v>
      </c>
      <c r="CL11" s="146" t="s">
        <v>147</v>
      </c>
      <c r="CM11" s="3"/>
      <c r="CN11" s="161" t="s">
        <v>138</v>
      </c>
      <c r="CO11" s="146" t="s">
        <v>147</v>
      </c>
      <c r="CP11" s="3"/>
      <c r="CQ11" s="161" t="s">
        <v>138</v>
      </c>
      <c r="CR11" s="146" t="s">
        <v>147</v>
      </c>
      <c r="CS11" s="3"/>
      <c r="CT11" s="161" t="s">
        <v>138</v>
      </c>
      <c r="CU11" s="146" t="s">
        <v>147</v>
      </c>
      <c r="CV11" s="3"/>
      <c r="CW11" s="161" t="s">
        <v>138</v>
      </c>
      <c r="CX11" s="146" t="s">
        <v>147</v>
      </c>
      <c r="CY11" s="3"/>
      <c r="CZ11" s="161" t="s">
        <v>138</v>
      </c>
      <c r="DA11" s="146" t="s">
        <v>147</v>
      </c>
      <c r="DB11" s="3"/>
      <c r="DC11" s="161" t="s">
        <v>138</v>
      </c>
      <c r="DD11" s="146" t="s">
        <v>147</v>
      </c>
      <c r="DE11" s="3"/>
      <c r="DF11" s="161" t="s">
        <v>138</v>
      </c>
      <c r="DG11" s="146" t="s">
        <v>147</v>
      </c>
      <c r="DH11" s="3"/>
      <c r="DI11" s="161" t="s">
        <v>138</v>
      </c>
      <c r="DJ11" s="146" t="s">
        <v>147</v>
      </c>
      <c r="DK11" s="3"/>
      <c r="DL11" s="161" t="s">
        <v>138</v>
      </c>
      <c r="DM11" s="146" t="s">
        <v>147</v>
      </c>
      <c r="DN11" s="3"/>
      <c r="DO11" s="161" t="s">
        <v>138</v>
      </c>
      <c r="DP11" s="146" t="s">
        <v>147</v>
      </c>
      <c r="DQ11" s="3"/>
      <c r="DR11" s="161" t="s">
        <v>138</v>
      </c>
      <c r="DS11" s="146" t="s">
        <v>147</v>
      </c>
      <c r="DT11" s="3"/>
      <c r="DU11" s="161" t="s">
        <v>138</v>
      </c>
      <c r="DV11" s="146" t="s">
        <v>147</v>
      </c>
      <c r="DW11" s="3"/>
      <c r="DX11" s="161" t="s">
        <v>138</v>
      </c>
      <c r="DY11" s="146" t="s">
        <v>147</v>
      </c>
      <c r="DZ11" s="3"/>
      <c r="EA11" s="161" t="s">
        <v>138</v>
      </c>
      <c r="EB11" s="146" t="s">
        <v>147</v>
      </c>
      <c r="EC11" s="3"/>
      <c r="ED11" s="161" t="s">
        <v>138</v>
      </c>
      <c r="EE11" s="146" t="s">
        <v>147</v>
      </c>
      <c r="EF11" s="3"/>
      <c r="EG11" s="161" t="s">
        <v>138</v>
      </c>
      <c r="EH11" s="146" t="s">
        <v>147</v>
      </c>
      <c r="EI11" s="3"/>
      <c r="EJ11" s="161" t="s">
        <v>138</v>
      </c>
      <c r="EK11" s="146" t="s">
        <v>147</v>
      </c>
      <c r="EL11" s="3"/>
      <c r="EM11" s="161" t="s">
        <v>138</v>
      </c>
      <c r="EN11" s="146" t="s">
        <v>147</v>
      </c>
      <c r="EO11" s="3"/>
      <c r="EP11" s="161" t="s">
        <v>138</v>
      </c>
      <c r="EQ11" s="146" t="s">
        <v>147</v>
      </c>
      <c r="ER11" s="3"/>
      <c r="ES11" s="161" t="s">
        <v>138</v>
      </c>
      <c r="ET11" s="146" t="s">
        <v>147</v>
      </c>
      <c r="EU11" s="3"/>
    </row>
    <row r="12" spans="1:151" x14ac:dyDescent="0.2">
      <c r="A12" s="3"/>
      <c r="B12" s="107" t="s">
        <v>172</v>
      </c>
      <c r="C12" s="104">
        <v>1</v>
      </c>
      <c r="D12" s="32"/>
      <c r="E12" s="107"/>
      <c r="F12" s="104"/>
      <c r="G12" s="32"/>
      <c r="H12" s="107" t="s">
        <v>175</v>
      </c>
      <c r="I12" s="104">
        <v>1</v>
      </c>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148</v>
      </c>
      <c r="C22" s="165" t="s">
        <v>121</v>
      </c>
      <c r="D22" s="3"/>
      <c r="E22" s="88" t="s">
        <v>148</v>
      </c>
      <c r="F22" s="165" t="s">
        <v>121</v>
      </c>
      <c r="G22" s="3"/>
      <c r="H22" s="88" t="s">
        <v>148</v>
      </c>
      <c r="I22" s="165" t="s">
        <v>121</v>
      </c>
      <c r="J22" s="3"/>
      <c r="K22" s="88" t="s">
        <v>148</v>
      </c>
      <c r="L22" s="165" t="s">
        <v>121</v>
      </c>
      <c r="M22" s="3"/>
      <c r="N22" s="88" t="s">
        <v>148</v>
      </c>
      <c r="O22" s="165" t="s">
        <v>121</v>
      </c>
      <c r="P22" s="3"/>
      <c r="Q22" s="88" t="s">
        <v>148</v>
      </c>
      <c r="R22" s="165" t="s">
        <v>121</v>
      </c>
      <c r="S22" s="3"/>
      <c r="T22" s="88" t="s">
        <v>148</v>
      </c>
      <c r="U22" s="165" t="s">
        <v>121</v>
      </c>
      <c r="V22" s="3"/>
      <c r="W22" s="88" t="s">
        <v>148</v>
      </c>
      <c r="X22" s="165" t="s">
        <v>121</v>
      </c>
      <c r="Y22" s="3"/>
      <c r="Z22" s="88" t="s">
        <v>148</v>
      </c>
      <c r="AA22" s="165" t="s">
        <v>121</v>
      </c>
      <c r="AB22" s="3"/>
      <c r="AC22" s="88" t="s">
        <v>148</v>
      </c>
      <c r="AD22" s="165" t="s">
        <v>121</v>
      </c>
      <c r="AE22" s="3"/>
      <c r="AF22" s="88" t="s">
        <v>148</v>
      </c>
      <c r="AG22" s="165" t="s">
        <v>121</v>
      </c>
      <c r="AH22" s="3"/>
      <c r="AI22" s="88" t="s">
        <v>148</v>
      </c>
      <c r="AJ22" s="165" t="s">
        <v>121</v>
      </c>
      <c r="AK22" s="3"/>
      <c r="AL22" s="88" t="s">
        <v>148</v>
      </c>
      <c r="AM22" s="165" t="s">
        <v>121</v>
      </c>
      <c r="AN22" s="3"/>
      <c r="AO22" s="88" t="s">
        <v>148</v>
      </c>
      <c r="AP22" s="165" t="s">
        <v>121</v>
      </c>
      <c r="AQ22" s="3"/>
      <c r="AR22" s="88" t="s">
        <v>148</v>
      </c>
      <c r="AS22" s="165" t="s">
        <v>121</v>
      </c>
      <c r="AT22" s="3"/>
      <c r="AU22" s="88" t="s">
        <v>148</v>
      </c>
      <c r="AV22" s="165" t="s">
        <v>121</v>
      </c>
      <c r="AW22" s="3"/>
      <c r="AX22" s="88" t="s">
        <v>148</v>
      </c>
      <c r="AY22" s="165" t="s">
        <v>121</v>
      </c>
      <c r="AZ22" s="3"/>
      <c r="BA22" s="88" t="s">
        <v>148</v>
      </c>
      <c r="BB22" s="165" t="s">
        <v>121</v>
      </c>
      <c r="BC22" s="3"/>
      <c r="BD22" s="88" t="s">
        <v>148</v>
      </c>
      <c r="BE22" s="165" t="s">
        <v>121</v>
      </c>
      <c r="BF22" s="3"/>
      <c r="BG22" s="88" t="s">
        <v>148</v>
      </c>
      <c r="BH22" s="165" t="s">
        <v>121</v>
      </c>
      <c r="BI22" s="3"/>
      <c r="BJ22" s="88" t="s">
        <v>148</v>
      </c>
      <c r="BK22" s="165" t="s">
        <v>121</v>
      </c>
      <c r="BL22" s="3"/>
      <c r="BM22" s="88" t="s">
        <v>148</v>
      </c>
      <c r="BN22" s="165" t="s">
        <v>121</v>
      </c>
      <c r="BO22" s="3"/>
      <c r="BP22" s="88" t="s">
        <v>148</v>
      </c>
      <c r="BQ22" s="165" t="s">
        <v>121</v>
      </c>
      <c r="BR22" s="3"/>
      <c r="BS22" s="88" t="s">
        <v>148</v>
      </c>
      <c r="BT22" s="165" t="s">
        <v>121</v>
      </c>
      <c r="BU22" s="3"/>
      <c r="BV22" s="88" t="s">
        <v>148</v>
      </c>
      <c r="BW22" s="165" t="s">
        <v>121</v>
      </c>
      <c r="BX22" s="3"/>
      <c r="BY22" s="88" t="s">
        <v>148</v>
      </c>
      <c r="BZ22" s="165" t="s">
        <v>121</v>
      </c>
      <c r="CA22" s="3"/>
      <c r="CB22" s="88" t="s">
        <v>148</v>
      </c>
      <c r="CC22" s="165" t="s">
        <v>121</v>
      </c>
      <c r="CD22" s="3"/>
      <c r="CE22" s="88" t="s">
        <v>148</v>
      </c>
      <c r="CF22" s="165" t="s">
        <v>121</v>
      </c>
      <c r="CG22" s="3"/>
      <c r="CH22" s="88" t="s">
        <v>148</v>
      </c>
      <c r="CI22" s="165" t="s">
        <v>121</v>
      </c>
      <c r="CJ22" s="3"/>
      <c r="CK22" s="88" t="s">
        <v>148</v>
      </c>
      <c r="CL22" s="165" t="s">
        <v>121</v>
      </c>
      <c r="CM22" s="3"/>
      <c r="CN22" s="88" t="s">
        <v>148</v>
      </c>
      <c r="CO22" s="165" t="s">
        <v>121</v>
      </c>
      <c r="CP22" s="3"/>
      <c r="CQ22" s="88" t="s">
        <v>148</v>
      </c>
      <c r="CR22" s="165" t="s">
        <v>121</v>
      </c>
      <c r="CS22" s="3"/>
      <c r="CT22" s="88" t="s">
        <v>148</v>
      </c>
      <c r="CU22" s="165" t="s">
        <v>121</v>
      </c>
      <c r="CV22" s="3"/>
      <c r="CW22" s="88" t="s">
        <v>148</v>
      </c>
      <c r="CX22" s="165" t="s">
        <v>121</v>
      </c>
      <c r="CY22" s="3"/>
      <c r="CZ22" s="88" t="s">
        <v>148</v>
      </c>
      <c r="DA22" s="165" t="s">
        <v>121</v>
      </c>
      <c r="DB22" s="3"/>
      <c r="DC22" s="88" t="s">
        <v>148</v>
      </c>
      <c r="DD22" s="165" t="s">
        <v>121</v>
      </c>
      <c r="DE22" s="3"/>
      <c r="DF22" s="88" t="s">
        <v>148</v>
      </c>
      <c r="DG22" s="165" t="s">
        <v>121</v>
      </c>
      <c r="DH22" s="3"/>
      <c r="DI22" s="88" t="s">
        <v>148</v>
      </c>
      <c r="DJ22" s="165" t="s">
        <v>121</v>
      </c>
      <c r="DK22" s="3"/>
      <c r="DL22" s="88" t="s">
        <v>148</v>
      </c>
      <c r="DM22" s="165" t="s">
        <v>121</v>
      </c>
      <c r="DN22" s="3"/>
      <c r="DO22" s="88" t="s">
        <v>148</v>
      </c>
      <c r="DP22" s="165" t="s">
        <v>121</v>
      </c>
      <c r="DQ22" s="3"/>
      <c r="DR22" s="88" t="s">
        <v>148</v>
      </c>
      <c r="DS22" s="165" t="s">
        <v>121</v>
      </c>
      <c r="DT22" s="3"/>
      <c r="DU22" s="88" t="s">
        <v>148</v>
      </c>
      <c r="DV22" s="165" t="s">
        <v>121</v>
      </c>
      <c r="DW22" s="3"/>
      <c r="DX22" s="88" t="s">
        <v>148</v>
      </c>
      <c r="DY22" s="165" t="s">
        <v>121</v>
      </c>
      <c r="DZ22" s="3"/>
      <c r="EA22" s="88" t="s">
        <v>148</v>
      </c>
      <c r="EB22" s="165" t="s">
        <v>121</v>
      </c>
      <c r="EC22" s="3"/>
      <c r="ED22" s="88" t="s">
        <v>148</v>
      </c>
      <c r="EE22" s="165" t="s">
        <v>121</v>
      </c>
      <c r="EF22" s="3"/>
      <c r="EG22" s="88" t="s">
        <v>148</v>
      </c>
      <c r="EH22" s="165" t="s">
        <v>121</v>
      </c>
      <c r="EI22" s="3"/>
      <c r="EJ22" s="88" t="s">
        <v>148</v>
      </c>
      <c r="EK22" s="165" t="s">
        <v>121</v>
      </c>
      <c r="EL22" s="3"/>
      <c r="EM22" s="88" t="s">
        <v>148</v>
      </c>
      <c r="EN22" s="165" t="s">
        <v>121</v>
      </c>
      <c r="EO22" s="3"/>
      <c r="EP22" s="88" t="s">
        <v>148</v>
      </c>
      <c r="EQ22" s="165" t="s">
        <v>121</v>
      </c>
      <c r="ER22" s="3"/>
      <c r="ES22" s="88" t="s">
        <v>148</v>
      </c>
      <c r="ET22" s="165" t="s">
        <v>121</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F12">
      <formula1>WSNumOutputObjects</formula1>
    </dataValidation>
    <dataValidation type="list" allowBlank="1" sqref="O7">
      <formula1>NameLabelRange</formula1>
    </dataValidation>
    <dataValidation type="list" allowBlank="1" sqref="E12">
      <formula1>NameLabelRange</formula1>
    </dataValidation>
    <dataValidation type="list" allowBlank="1" sqref="E13">
      <formula1>NameLabelRange</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F22">
      <formula1>BufferDetailsYesNo</formula1>
    </dataValidation>
    <dataValidation type="list" allowBlank="1" sqref="C22">
      <formula1>BufferDetailsYesNo</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B12">
      <formula1>NameLabelRange</formula1>
    </dataValidation>
    <dataValidation type="list" allowBlank="1" sqref="C12">
      <formula1>WSNumOutputObjects</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 type="list" allowBlank="1" sqref="H12">
      <formula1>NameLabelRange</formula1>
    </dataValidation>
    <dataValidation type="list" allowBlank="1" sqref="I12">
      <formula1>WSNumOutputObjects</formula1>
    </dataValidation>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C11" sqref="C11"/>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135</v>
      </c>
      <c r="C7" s="104" t="s">
        <v>78</v>
      </c>
      <c r="D7" s="3"/>
      <c r="E7" s="118" t="s">
        <v>135</v>
      </c>
      <c r="F7" s="104"/>
      <c r="G7" s="3"/>
      <c r="H7" s="118" t="s">
        <v>135</v>
      </c>
      <c r="I7" s="104"/>
      <c r="J7" s="3"/>
      <c r="K7" s="118" t="s">
        <v>135</v>
      </c>
      <c r="L7" s="104"/>
      <c r="M7" s="3"/>
      <c r="N7" s="118" t="s">
        <v>135</v>
      </c>
      <c r="O7" s="104"/>
      <c r="P7" s="3"/>
      <c r="Q7" s="118" t="s">
        <v>135</v>
      </c>
      <c r="R7" s="104"/>
      <c r="S7" s="3"/>
      <c r="T7" s="118" t="s">
        <v>135</v>
      </c>
      <c r="U7" s="104"/>
      <c r="V7" s="3"/>
      <c r="W7" s="118" t="s">
        <v>135</v>
      </c>
      <c r="X7" s="104"/>
      <c r="Y7" s="3"/>
      <c r="Z7" s="118" t="s">
        <v>135</v>
      </c>
      <c r="AA7" s="104"/>
      <c r="AB7" s="3"/>
      <c r="AC7" s="118" t="s">
        <v>135</v>
      </c>
      <c r="AD7" s="104"/>
      <c r="AE7" s="3"/>
      <c r="AF7" s="118" t="s">
        <v>135</v>
      </c>
      <c r="AG7" s="104"/>
      <c r="AH7" s="3"/>
      <c r="AI7" s="118" t="s">
        <v>135</v>
      </c>
      <c r="AJ7" s="104"/>
      <c r="AK7" s="3"/>
      <c r="AL7" s="118" t="s">
        <v>135</v>
      </c>
      <c r="AM7" s="104"/>
      <c r="AN7" s="3"/>
      <c r="AO7" s="118" t="s">
        <v>135</v>
      </c>
      <c r="AP7" s="104"/>
      <c r="AQ7" s="3"/>
      <c r="AR7" s="118" t="s">
        <v>135</v>
      </c>
      <c r="AS7" s="104"/>
      <c r="AT7" s="3"/>
      <c r="AU7" s="118" t="s">
        <v>135</v>
      </c>
      <c r="AV7" s="104"/>
      <c r="AW7" s="3"/>
      <c r="AX7" s="118" t="s">
        <v>135</v>
      </c>
      <c r="AY7" s="104"/>
      <c r="AZ7" s="3"/>
      <c r="BA7" s="118" t="s">
        <v>135</v>
      </c>
      <c r="BB7" s="104"/>
      <c r="BC7" s="3"/>
      <c r="BD7" s="118" t="s">
        <v>135</v>
      </c>
      <c r="BE7" s="104"/>
      <c r="BF7" s="3"/>
      <c r="BG7" s="118" t="s">
        <v>135</v>
      </c>
      <c r="BH7" s="104"/>
      <c r="BI7" s="3"/>
      <c r="BJ7" s="118" t="s">
        <v>135</v>
      </c>
      <c r="BK7" s="104"/>
      <c r="BL7" s="3"/>
      <c r="BM7" s="118" t="s">
        <v>135</v>
      </c>
      <c r="BN7" s="104"/>
      <c r="BO7" s="3"/>
      <c r="BP7" s="118" t="s">
        <v>135</v>
      </c>
      <c r="BQ7" s="104"/>
      <c r="BR7" s="3"/>
      <c r="BS7" s="118" t="s">
        <v>135</v>
      </c>
      <c r="BT7" s="104"/>
      <c r="BU7" s="3"/>
      <c r="BV7" s="118" t="s">
        <v>135</v>
      </c>
      <c r="BW7" s="104"/>
      <c r="BX7" s="3"/>
      <c r="BY7" s="118" t="s">
        <v>135</v>
      </c>
      <c r="BZ7" s="104"/>
      <c r="CA7" s="3"/>
      <c r="CB7" s="118" t="s">
        <v>135</v>
      </c>
      <c r="CC7" s="104"/>
      <c r="CD7" s="3"/>
      <c r="CE7" s="118" t="s">
        <v>135</v>
      </c>
      <c r="CF7" s="104"/>
      <c r="CG7" s="3"/>
      <c r="CH7" s="118" t="s">
        <v>135</v>
      </c>
      <c r="CI7" s="104"/>
      <c r="CJ7" s="3"/>
      <c r="CK7" s="118" t="s">
        <v>135</v>
      </c>
      <c r="CL7" s="104"/>
      <c r="CM7" s="3"/>
      <c r="CN7" s="118" t="s">
        <v>135</v>
      </c>
      <c r="CO7" s="104"/>
      <c r="CP7" s="3"/>
      <c r="CQ7" s="118" t="s">
        <v>135</v>
      </c>
      <c r="CR7" s="104"/>
      <c r="CS7" s="3"/>
      <c r="CT7" s="118" t="s">
        <v>135</v>
      </c>
      <c r="CU7" s="104"/>
      <c r="CV7" s="3"/>
      <c r="CW7" s="118" t="s">
        <v>135</v>
      </c>
      <c r="CX7" s="104"/>
      <c r="CY7" s="3"/>
      <c r="CZ7" s="118" t="s">
        <v>135</v>
      </c>
      <c r="DA7" s="104"/>
      <c r="DB7" s="3"/>
      <c r="DC7" s="118" t="s">
        <v>135</v>
      </c>
      <c r="DD7" s="104"/>
      <c r="DE7" s="3"/>
      <c r="DF7" s="118" t="s">
        <v>135</v>
      </c>
      <c r="DG7" s="104"/>
      <c r="DH7" s="3"/>
      <c r="DI7" s="118" t="s">
        <v>135</v>
      </c>
      <c r="DJ7" s="104"/>
      <c r="DK7" s="3"/>
      <c r="DL7" s="118" t="s">
        <v>135</v>
      </c>
      <c r="DM7" s="104"/>
      <c r="DN7" s="3"/>
      <c r="DO7" s="118" t="s">
        <v>135</v>
      </c>
      <c r="DP7" s="104"/>
      <c r="DQ7" s="3"/>
      <c r="DR7" s="118" t="s">
        <v>135</v>
      </c>
      <c r="DS7" s="104"/>
      <c r="DT7" s="3"/>
      <c r="DU7" s="118" t="s">
        <v>135</v>
      </c>
      <c r="DV7" s="104"/>
      <c r="DW7" s="3"/>
      <c r="DX7" s="118" t="s">
        <v>135</v>
      </c>
      <c r="DY7" s="104"/>
      <c r="DZ7" s="3"/>
      <c r="EA7" s="118" t="s">
        <v>135</v>
      </c>
      <c r="EB7" s="104"/>
      <c r="EC7" s="3"/>
      <c r="ED7" s="118" t="s">
        <v>135</v>
      </c>
      <c r="EE7" s="104"/>
      <c r="EF7" s="3"/>
      <c r="EG7" s="118" t="s">
        <v>135</v>
      </c>
      <c r="EH7" s="104"/>
      <c r="EI7" s="3"/>
      <c r="EJ7" s="118" t="s">
        <v>135</v>
      </c>
      <c r="EK7" s="104"/>
      <c r="EL7" s="3"/>
      <c r="EM7" s="118" t="s">
        <v>135</v>
      </c>
      <c r="EN7" s="104"/>
      <c r="EO7" s="3"/>
      <c r="EP7" s="118" t="s">
        <v>135</v>
      </c>
      <c r="EQ7" s="104"/>
      <c r="ER7" s="3"/>
      <c r="ES7" s="118" t="s">
        <v>135</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61" t="s">
        <v>149</v>
      </c>
      <c r="C9" s="146" t="s">
        <v>150</v>
      </c>
      <c r="D9" s="3"/>
      <c r="E9" s="161" t="s">
        <v>149</v>
      </c>
      <c r="F9" s="146" t="s">
        <v>150</v>
      </c>
      <c r="G9" s="3"/>
      <c r="H9" s="161" t="s">
        <v>149</v>
      </c>
      <c r="I9" s="146" t="s">
        <v>150</v>
      </c>
      <c r="J9" s="3"/>
      <c r="K9" s="161" t="s">
        <v>149</v>
      </c>
      <c r="L9" s="146" t="s">
        <v>150</v>
      </c>
      <c r="M9" s="3"/>
      <c r="N9" s="161" t="s">
        <v>149</v>
      </c>
      <c r="O9" s="146" t="s">
        <v>150</v>
      </c>
      <c r="P9" s="3"/>
      <c r="Q9" s="161" t="s">
        <v>149</v>
      </c>
      <c r="R9" s="146" t="s">
        <v>150</v>
      </c>
      <c r="S9" s="3"/>
      <c r="T9" s="161" t="s">
        <v>149</v>
      </c>
      <c r="U9" s="146" t="s">
        <v>150</v>
      </c>
      <c r="V9" s="3"/>
      <c r="W9" s="161" t="s">
        <v>149</v>
      </c>
      <c r="X9" s="146" t="s">
        <v>150</v>
      </c>
      <c r="Y9" s="3"/>
      <c r="Z9" s="161" t="s">
        <v>149</v>
      </c>
      <c r="AA9" s="146" t="s">
        <v>150</v>
      </c>
      <c r="AB9" s="3"/>
      <c r="AC9" s="161" t="s">
        <v>149</v>
      </c>
      <c r="AD9" s="146" t="s">
        <v>150</v>
      </c>
      <c r="AE9" s="3"/>
      <c r="AF9" s="161" t="s">
        <v>149</v>
      </c>
      <c r="AG9" s="146" t="s">
        <v>150</v>
      </c>
      <c r="AH9" s="3"/>
      <c r="AI9" s="161" t="s">
        <v>149</v>
      </c>
      <c r="AJ9" s="146" t="s">
        <v>150</v>
      </c>
      <c r="AK9" s="3"/>
      <c r="AL9" s="161" t="s">
        <v>149</v>
      </c>
      <c r="AM9" s="146" t="s">
        <v>150</v>
      </c>
      <c r="AN9" s="3"/>
      <c r="AO9" s="161" t="s">
        <v>149</v>
      </c>
      <c r="AP9" s="146" t="s">
        <v>150</v>
      </c>
      <c r="AQ9" s="3"/>
      <c r="AR9" s="161" t="s">
        <v>149</v>
      </c>
      <c r="AS9" s="146" t="s">
        <v>150</v>
      </c>
      <c r="AT9" s="3"/>
      <c r="AU9" s="161" t="s">
        <v>149</v>
      </c>
      <c r="AV9" s="146" t="s">
        <v>150</v>
      </c>
      <c r="AW9" s="3"/>
      <c r="AX9" s="161" t="s">
        <v>149</v>
      </c>
      <c r="AY9" s="146" t="s">
        <v>150</v>
      </c>
      <c r="AZ9" s="3"/>
      <c r="BA9" s="161" t="s">
        <v>149</v>
      </c>
      <c r="BB9" s="146" t="s">
        <v>150</v>
      </c>
      <c r="BC9" s="3"/>
      <c r="BD9" s="161" t="s">
        <v>149</v>
      </c>
      <c r="BE9" s="146" t="s">
        <v>150</v>
      </c>
      <c r="BF9" s="3"/>
      <c r="BG9" s="161" t="s">
        <v>149</v>
      </c>
      <c r="BH9" s="146" t="s">
        <v>150</v>
      </c>
      <c r="BI9" s="3"/>
      <c r="BJ9" s="161" t="s">
        <v>149</v>
      </c>
      <c r="BK9" s="146" t="s">
        <v>150</v>
      </c>
      <c r="BL9" s="3"/>
      <c r="BM9" s="161" t="s">
        <v>149</v>
      </c>
      <c r="BN9" s="146" t="s">
        <v>150</v>
      </c>
      <c r="BO9" s="3"/>
      <c r="BP9" s="161" t="s">
        <v>149</v>
      </c>
      <c r="BQ9" s="146" t="s">
        <v>150</v>
      </c>
      <c r="BR9" s="3"/>
      <c r="BS9" s="161" t="s">
        <v>149</v>
      </c>
      <c r="BT9" s="146" t="s">
        <v>150</v>
      </c>
      <c r="BU9" s="3"/>
      <c r="BV9" s="161" t="s">
        <v>149</v>
      </c>
      <c r="BW9" s="146" t="s">
        <v>150</v>
      </c>
      <c r="BX9" s="3"/>
      <c r="BY9" s="161" t="s">
        <v>149</v>
      </c>
      <c r="BZ9" s="146" t="s">
        <v>150</v>
      </c>
      <c r="CA9" s="3"/>
      <c r="CB9" s="161" t="s">
        <v>149</v>
      </c>
      <c r="CC9" s="146" t="s">
        <v>150</v>
      </c>
      <c r="CD9" s="3"/>
      <c r="CE9" s="161" t="s">
        <v>149</v>
      </c>
      <c r="CF9" s="146" t="s">
        <v>150</v>
      </c>
      <c r="CG9" s="3"/>
      <c r="CH9" s="161" t="s">
        <v>149</v>
      </c>
      <c r="CI9" s="146" t="s">
        <v>150</v>
      </c>
      <c r="CJ9" s="3"/>
      <c r="CK9" s="161" t="s">
        <v>149</v>
      </c>
      <c r="CL9" s="146" t="s">
        <v>150</v>
      </c>
      <c r="CM9" s="3"/>
      <c r="CN9" s="161" t="s">
        <v>149</v>
      </c>
      <c r="CO9" s="146" t="s">
        <v>150</v>
      </c>
      <c r="CP9" s="3"/>
      <c r="CQ9" s="161" t="s">
        <v>149</v>
      </c>
      <c r="CR9" s="146" t="s">
        <v>150</v>
      </c>
      <c r="CS9" s="3"/>
      <c r="CT9" s="161" t="s">
        <v>149</v>
      </c>
      <c r="CU9" s="146" t="s">
        <v>150</v>
      </c>
      <c r="CV9" s="3"/>
      <c r="CW9" s="161" t="s">
        <v>149</v>
      </c>
      <c r="CX9" s="146" t="s">
        <v>150</v>
      </c>
      <c r="CY9" s="3"/>
      <c r="CZ9" s="161" t="s">
        <v>149</v>
      </c>
      <c r="DA9" s="146" t="s">
        <v>150</v>
      </c>
      <c r="DB9" s="3"/>
      <c r="DC9" s="161" t="s">
        <v>149</v>
      </c>
      <c r="DD9" s="146" t="s">
        <v>150</v>
      </c>
      <c r="DE9" s="3"/>
      <c r="DF9" s="161" t="s">
        <v>149</v>
      </c>
      <c r="DG9" s="146" t="s">
        <v>150</v>
      </c>
      <c r="DH9" s="3"/>
      <c r="DI9" s="161" t="s">
        <v>149</v>
      </c>
      <c r="DJ9" s="146" t="s">
        <v>150</v>
      </c>
      <c r="DK9" s="3"/>
      <c r="DL9" s="161" t="s">
        <v>149</v>
      </c>
      <c r="DM9" s="146" t="s">
        <v>150</v>
      </c>
      <c r="DN9" s="3"/>
      <c r="DO9" s="161" t="s">
        <v>149</v>
      </c>
      <c r="DP9" s="146" t="s">
        <v>150</v>
      </c>
      <c r="DQ9" s="3"/>
      <c r="DR9" s="161" t="s">
        <v>149</v>
      </c>
      <c r="DS9" s="146" t="s">
        <v>150</v>
      </c>
      <c r="DT9" s="3"/>
      <c r="DU9" s="161" t="s">
        <v>149</v>
      </c>
      <c r="DV9" s="146" t="s">
        <v>150</v>
      </c>
      <c r="DW9" s="3"/>
      <c r="DX9" s="161" t="s">
        <v>149</v>
      </c>
      <c r="DY9" s="146" t="s">
        <v>150</v>
      </c>
      <c r="DZ9" s="3"/>
      <c r="EA9" s="161" t="s">
        <v>149</v>
      </c>
      <c r="EB9" s="146" t="s">
        <v>150</v>
      </c>
      <c r="EC9" s="3"/>
      <c r="ED9" s="161" t="s">
        <v>149</v>
      </c>
      <c r="EE9" s="146" t="s">
        <v>150</v>
      </c>
      <c r="EF9" s="3"/>
      <c r="EG9" s="161" t="s">
        <v>149</v>
      </c>
      <c r="EH9" s="146" t="s">
        <v>150</v>
      </c>
      <c r="EI9" s="3"/>
      <c r="EJ9" s="161" t="s">
        <v>149</v>
      </c>
      <c r="EK9" s="146" t="s">
        <v>150</v>
      </c>
      <c r="EL9" s="3"/>
      <c r="EM9" s="161" t="s">
        <v>149</v>
      </c>
      <c r="EN9" s="146" t="s">
        <v>150</v>
      </c>
      <c r="EO9" s="3"/>
      <c r="EP9" s="161" t="s">
        <v>149</v>
      </c>
      <c r="EQ9" s="146" t="s">
        <v>150</v>
      </c>
      <c r="ER9" s="3"/>
      <c r="ES9" s="161" t="s">
        <v>149</v>
      </c>
      <c r="ET9" s="146" t="s">
        <v>150</v>
      </c>
      <c r="EU9" s="3"/>
    </row>
    <row r="10" spans="1:151" x14ac:dyDescent="0.2">
      <c r="A10" s="3"/>
      <c r="B10" s="107" t="s">
        <v>174</v>
      </c>
      <c r="C10" s="104">
        <v>5</v>
      </c>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t="s">
        <v>173</v>
      </c>
      <c r="C11" s="154">
        <v>95</v>
      </c>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F7">
      <formula1>NameLabelRange</formula1>
    </dataValidation>
    <dataValidation type="list" allowBlank="1" sqref="I7">
      <formula1>NameLabelRange</formula1>
    </dataValidation>
    <dataValidation type="list" allowBlank="1" sqref="C11">
      <formula1>WSNumOutputObjects</formula1>
    </dataValidation>
    <dataValidation type="list" allowBlank="1" sqref="C7">
      <formula1>NameLabelRange</formula1>
    </dataValidation>
    <dataValidation type="list" allowBlank="1" sqref="B10">
      <formula1>NameLabelRange</formula1>
    </dataValidation>
    <dataValidation type="list" allowBlank="1" sqref="C10">
      <formula1>WSNumOutputObjects</formula1>
    </dataValidation>
    <dataValidation type="list" allowBlank="1" sqref="B11">
      <formula1>NameLabelRange</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1" sqref="C11"/>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110</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111</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110</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53"/>
      <c r="E10" s="153"/>
      <c r="F10" s="145"/>
      <c r="M10" s="125"/>
    </row>
    <row r="11" spans="1:13" x14ac:dyDescent="0.2">
      <c r="A11" s="129"/>
      <c r="B11" s="126">
        <v>5</v>
      </c>
      <c r="C11" s="111"/>
      <c r="D11" s="153"/>
      <c r="E11" s="153"/>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107</v>
      </c>
    </row>
    <row r="3" spans="1:151" x14ac:dyDescent="0.2">
      <c r="F3" s="89"/>
    </row>
    <row r="4" spans="1:151" x14ac:dyDescent="0.2">
      <c r="A4" s="89" t="s">
        <v>109</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106</v>
      </c>
      <c r="D7" s="3"/>
      <c r="E7" s="65" t="s">
        <v>85</v>
      </c>
      <c r="F7" s="88" t="s">
        <v>106</v>
      </c>
      <c r="G7" s="3"/>
      <c r="H7" s="65" t="s">
        <v>85</v>
      </c>
      <c r="I7" s="88" t="s">
        <v>106</v>
      </c>
      <c r="J7" s="3"/>
      <c r="K7" s="65" t="s">
        <v>85</v>
      </c>
      <c r="L7" s="88" t="s">
        <v>106</v>
      </c>
      <c r="M7" s="3"/>
      <c r="N7" s="65" t="s">
        <v>85</v>
      </c>
      <c r="O7" s="88" t="s">
        <v>106</v>
      </c>
      <c r="P7" s="3"/>
      <c r="Q7" s="65" t="s">
        <v>85</v>
      </c>
      <c r="R7" s="88" t="s">
        <v>106</v>
      </c>
      <c r="S7" s="3"/>
      <c r="T7" s="65" t="s">
        <v>85</v>
      </c>
      <c r="U7" s="88" t="s">
        <v>106</v>
      </c>
      <c r="V7" s="3"/>
      <c r="W7" s="65" t="s">
        <v>85</v>
      </c>
      <c r="X7" s="88" t="s">
        <v>106</v>
      </c>
      <c r="Y7" s="3"/>
      <c r="Z7" s="65" t="s">
        <v>85</v>
      </c>
      <c r="AA7" s="88" t="s">
        <v>106</v>
      </c>
      <c r="AB7" s="3"/>
      <c r="AC7" s="65" t="s">
        <v>85</v>
      </c>
      <c r="AD7" s="88" t="s">
        <v>106</v>
      </c>
      <c r="AE7" s="3"/>
      <c r="AF7" s="65" t="s">
        <v>85</v>
      </c>
      <c r="AG7" s="88" t="s">
        <v>106</v>
      </c>
      <c r="AH7" s="3"/>
      <c r="AI7" s="65" t="s">
        <v>85</v>
      </c>
      <c r="AJ7" s="88" t="s">
        <v>106</v>
      </c>
      <c r="AK7" s="3"/>
      <c r="AL7" s="65" t="s">
        <v>85</v>
      </c>
      <c r="AM7" s="88" t="s">
        <v>106</v>
      </c>
      <c r="AN7" s="3"/>
      <c r="AO7" s="65" t="s">
        <v>85</v>
      </c>
      <c r="AP7" s="88" t="s">
        <v>106</v>
      </c>
      <c r="AQ7" s="3"/>
      <c r="AR7" s="65" t="s">
        <v>85</v>
      </c>
      <c r="AS7" s="88" t="s">
        <v>106</v>
      </c>
      <c r="AT7" s="3"/>
      <c r="AU7" s="65" t="s">
        <v>85</v>
      </c>
      <c r="AV7" s="88" t="s">
        <v>106</v>
      </c>
      <c r="AW7" s="3"/>
      <c r="AX7" s="65" t="s">
        <v>85</v>
      </c>
      <c r="AY7" s="88" t="s">
        <v>106</v>
      </c>
      <c r="AZ7" s="3"/>
      <c r="BA7" s="65" t="s">
        <v>85</v>
      </c>
      <c r="BB7" s="88" t="s">
        <v>106</v>
      </c>
      <c r="BC7" s="3"/>
      <c r="BD7" s="65" t="s">
        <v>85</v>
      </c>
      <c r="BE7" s="88" t="s">
        <v>106</v>
      </c>
      <c r="BF7" s="3"/>
      <c r="BG7" s="65" t="s">
        <v>85</v>
      </c>
      <c r="BH7" s="88" t="s">
        <v>106</v>
      </c>
      <c r="BI7" s="3"/>
      <c r="BJ7" s="65" t="s">
        <v>85</v>
      </c>
      <c r="BK7" s="88" t="s">
        <v>106</v>
      </c>
      <c r="BL7" s="3"/>
      <c r="BM7" s="65" t="s">
        <v>85</v>
      </c>
      <c r="BN7" s="88" t="s">
        <v>106</v>
      </c>
      <c r="BO7" s="3"/>
      <c r="BP7" s="65" t="s">
        <v>85</v>
      </c>
      <c r="BQ7" s="88" t="s">
        <v>106</v>
      </c>
      <c r="BR7" s="3"/>
      <c r="BS7" s="65" t="s">
        <v>85</v>
      </c>
      <c r="BT7" s="88" t="s">
        <v>106</v>
      </c>
      <c r="BU7" s="3"/>
      <c r="BV7" s="65" t="s">
        <v>85</v>
      </c>
      <c r="BW7" s="88" t="s">
        <v>106</v>
      </c>
      <c r="BX7" s="3"/>
      <c r="BY7" s="65" t="s">
        <v>85</v>
      </c>
      <c r="BZ7" s="88" t="s">
        <v>106</v>
      </c>
      <c r="CA7" s="3"/>
      <c r="CB7" s="65" t="s">
        <v>85</v>
      </c>
      <c r="CC7" s="88" t="s">
        <v>106</v>
      </c>
      <c r="CD7" s="3"/>
      <c r="CE7" s="65" t="s">
        <v>85</v>
      </c>
      <c r="CF7" s="88" t="s">
        <v>106</v>
      </c>
      <c r="CG7" s="3"/>
      <c r="CH7" s="65" t="s">
        <v>85</v>
      </c>
      <c r="CI7" s="88" t="s">
        <v>106</v>
      </c>
      <c r="CJ7" s="3"/>
      <c r="CK7" s="65" t="s">
        <v>85</v>
      </c>
      <c r="CL7" s="88" t="s">
        <v>106</v>
      </c>
      <c r="CM7" s="3"/>
      <c r="CN7" s="65" t="s">
        <v>85</v>
      </c>
      <c r="CO7" s="88" t="s">
        <v>106</v>
      </c>
      <c r="CP7" s="3"/>
      <c r="CQ7" s="65" t="s">
        <v>85</v>
      </c>
      <c r="CR7" s="88" t="s">
        <v>106</v>
      </c>
      <c r="CS7" s="3"/>
      <c r="CT7" s="65" t="s">
        <v>85</v>
      </c>
      <c r="CU7" s="88" t="s">
        <v>106</v>
      </c>
      <c r="CV7" s="3"/>
      <c r="CW7" s="65" t="s">
        <v>85</v>
      </c>
      <c r="CX7" s="88" t="s">
        <v>106</v>
      </c>
      <c r="CY7" s="3"/>
      <c r="CZ7" s="65" t="s">
        <v>85</v>
      </c>
      <c r="DA7" s="88" t="s">
        <v>106</v>
      </c>
      <c r="DB7" s="3"/>
      <c r="DC7" s="65" t="s">
        <v>85</v>
      </c>
      <c r="DD7" s="88" t="s">
        <v>106</v>
      </c>
      <c r="DE7" s="3"/>
      <c r="DF7" s="65" t="s">
        <v>85</v>
      </c>
      <c r="DG7" s="88" t="s">
        <v>106</v>
      </c>
      <c r="DH7" s="3"/>
      <c r="DI7" s="65" t="s">
        <v>85</v>
      </c>
      <c r="DJ7" s="88" t="s">
        <v>106</v>
      </c>
      <c r="DK7" s="3"/>
      <c r="DL7" s="65" t="s">
        <v>85</v>
      </c>
      <c r="DM7" s="88" t="s">
        <v>106</v>
      </c>
      <c r="DN7" s="3"/>
      <c r="DO7" s="65" t="s">
        <v>85</v>
      </c>
      <c r="DP7" s="88" t="s">
        <v>106</v>
      </c>
      <c r="DQ7" s="3"/>
      <c r="DR7" s="65" t="s">
        <v>85</v>
      </c>
      <c r="DS7" s="88" t="s">
        <v>106</v>
      </c>
      <c r="DT7" s="3"/>
      <c r="DU7" s="65" t="s">
        <v>85</v>
      </c>
      <c r="DV7" s="88" t="s">
        <v>106</v>
      </c>
      <c r="DW7" s="3"/>
      <c r="DX7" s="65" t="s">
        <v>85</v>
      </c>
      <c r="DY7" s="88" t="s">
        <v>106</v>
      </c>
      <c r="DZ7" s="3"/>
      <c r="EA7" s="65" t="s">
        <v>85</v>
      </c>
      <c r="EB7" s="88" t="s">
        <v>106</v>
      </c>
      <c r="EC7" s="3"/>
      <c r="ED7" s="65" t="s">
        <v>85</v>
      </c>
      <c r="EE7" s="88" t="s">
        <v>106</v>
      </c>
      <c r="EF7" s="3"/>
      <c r="EG7" s="65" t="s">
        <v>85</v>
      </c>
      <c r="EH7" s="88" t="s">
        <v>106</v>
      </c>
      <c r="EI7" s="3"/>
      <c r="EJ7" s="65" t="s">
        <v>85</v>
      </c>
      <c r="EK7" s="88" t="s">
        <v>106</v>
      </c>
      <c r="EL7" s="3"/>
      <c r="EM7" s="65" t="s">
        <v>85</v>
      </c>
      <c r="EN7" s="88" t="s">
        <v>106</v>
      </c>
      <c r="EO7" s="3"/>
      <c r="EP7" s="65" t="s">
        <v>85</v>
      </c>
      <c r="EQ7" s="88" t="s">
        <v>106</v>
      </c>
      <c r="ER7" s="3"/>
      <c r="ES7" s="65" t="s">
        <v>85</v>
      </c>
      <c r="ET7" s="88" t="s">
        <v>106</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62"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t="str">
        <f>IF(INDEX(Entrances!$A$6:$EV$21,'Data Val lists'!$A8,'Data Val lists'!D$4)="","",INDEX(Entrances!$A$6:$EV$21,'Data Val lists'!$A8,'Data Val lists'!D$4))</f>
        <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Raw Materials</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Finished Goods</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Rework Line for Defective Goods</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Reworked Goods</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Unlimited</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Unlimited</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Unlimited</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Unlimited</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200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f>IF(INDEX(Buffers!$A$6:$EV$21,'Data Val lists'!$A38,'Data Val lists'!J$34)="","",INDEX(Buffers!$A$6:$EV$21,'Data Val lists'!$A38,'Data Val lists'!J$34))</f>
        <v>0</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f>IF(INDEX(Buffers!$A$6:$EV$21,'Data Val lists'!$A38,'Data Val lists'!M$34)="","",INDEX(Buffers!$A$6:$EV$21,'Data Val lists'!$A38,'Data Val lists'!M$34))</f>
        <v>0</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Production</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Rework</v>
      </c>
      <c r="J41" s="109">
        <f>IF(INDEX(Buffers!$A$6:$EV$21,'Data Val lists'!$A41,'Data Val lists'!J$34)="","",INDEX(Buffers!$A$6:$EV$21,'Data Val lists'!$A41,'Data Val lists'!J$34))</f>
        <v>1</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103</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DP</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Rework Line for Defective Goods</v>
      </c>
      <c r="D60" s="109">
        <f>IF(INDEX('Decision Points'!$A$6:$EV$19,'Data Val lists'!$A60,'Data Val lists'!D$55)="","",INDEX('Decision Points'!$A$6:$EV$19,'Data Val lists'!$A60,'Data Val lists'!D$55))</f>
        <v>5</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Finished Goods</v>
      </c>
      <c r="D61" s="109">
        <f>IF(INDEX('Decision Points'!$A$6:$EV$19,'Data Val lists'!$A61,'Data Val lists'!D$55)="","",INDEX('Decision Points'!$A$6:$EV$19,'Data Val lists'!$A61,'Data Val lists'!D$55))</f>
        <v>95</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Production</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Quality Inspection</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Rework</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Nor(5,1)</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Nor(3,1)</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Exp(5)</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Quality Inspection</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DP</v>
      </c>
      <c r="I80" s="109">
        <f>IF(INDEX('Work Stations'!$A$6:$IR$20,'Data Val lists'!$A80,'Data Val lists'!I$74)="","",INDEX('Work Stations'!$A$6:$IR$20,'Data Val lists'!$A80,'Data Val lists'!I$74))</f>
        <v>1</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Reworked Goods</v>
      </c>
      <c r="N80" s="109">
        <f>IF(INDEX('Work Stations'!$A$6:$IR$20,'Data Val lists'!$A80,'Data Val lists'!N$74)="","",INDEX('Work Stations'!$A$6:$IR$20,'Data Val lists'!$A80,'Data Val lists'!N$74))</f>
        <v>1</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98</v>
      </c>
      <c r="D92" s="103" t="s">
        <v>96</v>
      </c>
      <c r="E92" s="103" t="s">
        <v>97</v>
      </c>
      <c r="F92" s="103" t="s">
        <v>101</v>
      </c>
      <c r="G92" s="103" t="s">
        <v>104</v>
      </c>
      <c r="I92" s="103" t="s">
        <v>113</v>
      </c>
      <c r="J92" s="103"/>
      <c r="N92" s="103" t="s">
        <v>108</v>
      </c>
      <c r="R92" s="103" t="s">
        <v>114</v>
      </c>
      <c r="X92" s="103" t="s">
        <v>115</v>
      </c>
      <c r="AB92" s="103" t="s">
        <v>116</v>
      </c>
      <c r="AG92" s="103" t="s">
        <v>122</v>
      </c>
      <c r="AJ92" s="103" t="s">
        <v>132</v>
      </c>
    </row>
    <row r="93" spans="1:251" x14ac:dyDescent="0.2">
      <c r="A93" s="103" t="s">
        <v>99</v>
      </c>
      <c r="C93">
        <v>2</v>
      </c>
      <c r="D93">
        <v>3</v>
      </c>
      <c r="E93" s="110" t="str">
        <f>INDEX($B$5:$EU$20,C93,D93)</f>
        <v/>
      </c>
      <c r="F93" t="s">
        <v>102</v>
      </c>
      <c r="G93" t="str">
        <f>IF(AND(COUNTBLANK($F$93:F93)=1,COUNTBLANK(F94)=0),F94,IF(COUNTBLANK($F$93:F93)=0,F93,""))</f>
        <v>DP</v>
      </c>
      <c r="I93" s="89" t="s">
        <v>125</v>
      </c>
      <c r="N93" s="89" t="s">
        <v>125</v>
      </c>
      <c r="R93" s="89" t="s">
        <v>125</v>
      </c>
      <c r="X93" s="89" t="s">
        <v>105</v>
      </c>
      <c r="AB93" s="89" t="s">
        <v>125</v>
      </c>
      <c r="AG93" s="89" t="s">
        <v>118</v>
      </c>
      <c r="AJ93" s="89" t="s">
        <v>105</v>
      </c>
    </row>
    <row r="94" spans="1:251" x14ac:dyDescent="0.2">
      <c r="C94">
        <v>2</v>
      </c>
      <c r="D94">
        <f>3+D93</f>
        <v>6</v>
      </c>
      <c r="E94" s="110" t="str">
        <f t="shared" ref="E94:E157" si="0">INDEX($B$5:$EU$20,C94,D94)</f>
        <v/>
      </c>
      <c r="F94" t="s">
        <v>78</v>
      </c>
      <c r="G94" t="str">
        <f>IF(AND(COUNTBLANK($F$93:F94)=1,COUNTBLANK(F95)=0),F95,IF(COUNTBLANK($F$93:F94)=0,F94,""))</f>
        <v>Finished Goods</v>
      </c>
      <c r="I94" s="89" t="s">
        <v>126</v>
      </c>
      <c r="N94" s="89" t="s">
        <v>126</v>
      </c>
      <c r="Q94" s="89"/>
      <c r="R94" s="89" t="s">
        <v>126</v>
      </c>
      <c r="X94" s="89" t="s">
        <v>112</v>
      </c>
      <c r="AB94" s="89" t="s">
        <v>126</v>
      </c>
      <c r="AG94" s="89" t="s">
        <v>121</v>
      </c>
      <c r="AJ94" s="89" t="s">
        <v>129</v>
      </c>
    </row>
    <row r="95" spans="1:251" x14ac:dyDescent="0.2">
      <c r="C95">
        <v>2</v>
      </c>
      <c r="D95">
        <f t="shared" ref="D95:D142" si="1">3+D94</f>
        <v>9</v>
      </c>
      <c r="E95" s="110" t="str">
        <f t="shared" si="0"/>
        <v/>
      </c>
      <c r="F95" t="s">
        <v>173</v>
      </c>
      <c r="G95" t="str">
        <f>IF(AND(COUNTBLANK($F$93:F95)=1,COUNTBLANK(F96)=0),F96,IF(COUNTBLANK($F$93:F95)=0,F95,""))</f>
        <v>Production</v>
      </c>
      <c r="I95" s="89" t="s">
        <v>127</v>
      </c>
      <c r="N95" s="89" t="s">
        <v>127</v>
      </c>
      <c r="O95" s="89"/>
      <c r="Q95" s="89"/>
      <c r="R95" s="89" t="s">
        <v>127</v>
      </c>
      <c r="X95" s="89" t="s">
        <v>129</v>
      </c>
      <c r="AB95" s="89" t="s">
        <v>127</v>
      </c>
    </row>
    <row r="96" spans="1:251" x14ac:dyDescent="0.2">
      <c r="C96">
        <v>2</v>
      </c>
      <c r="D96">
        <f t="shared" si="1"/>
        <v>12</v>
      </c>
      <c r="E96" s="110" t="str">
        <f t="shared" si="0"/>
        <v/>
      </c>
      <c r="F96" t="s">
        <v>172</v>
      </c>
      <c r="G96" t="str">
        <f>IF(AND(COUNTBLANK($F$93:F96)=1,COUNTBLANK(F97)=0),F97,IF(COUNTBLANK($F$93:F96)=0,F96,""))</f>
        <v>Quality Inspection</v>
      </c>
      <c r="I96" s="89" t="s">
        <v>105</v>
      </c>
      <c r="N96" s="89" t="s">
        <v>105</v>
      </c>
      <c r="Q96" s="89"/>
      <c r="R96" s="89" t="s">
        <v>105</v>
      </c>
      <c r="AB96" s="89" t="s">
        <v>105</v>
      </c>
    </row>
    <row r="97" spans="3:28" x14ac:dyDescent="0.2">
      <c r="C97">
        <v>2</v>
      </c>
      <c r="D97">
        <f t="shared" si="1"/>
        <v>15</v>
      </c>
      <c r="E97" s="110" t="str">
        <f t="shared" si="0"/>
        <v/>
      </c>
      <c r="F97" t="s">
        <v>177</v>
      </c>
      <c r="G97" t="str">
        <f>IF(AND(COUNTBLANK($F$93:F97)=1,COUNTBLANK(F98)=0),F98,IF(COUNTBLANK($F$93:F97)=0,F97,""))</f>
        <v>Raw Materials</v>
      </c>
      <c r="I97" s="89" t="s">
        <v>128</v>
      </c>
      <c r="N97" s="89" t="s">
        <v>128</v>
      </c>
      <c r="Q97" s="89"/>
      <c r="R97" s="89" t="s">
        <v>128</v>
      </c>
      <c r="AB97" s="89" t="s">
        <v>128</v>
      </c>
    </row>
    <row r="98" spans="3:28" x14ac:dyDescent="0.2">
      <c r="C98">
        <v>2</v>
      </c>
      <c r="D98">
        <f t="shared" si="1"/>
        <v>18</v>
      </c>
      <c r="E98" s="110" t="str">
        <f t="shared" si="0"/>
        <v/>
      </c>
      <c r="F98" t="s">
        <v>171</v>
      </c>
      <c r="G98" t="str">
        <f>IF(AND(COUNTBLANK($F$93:F98)=1,COUNTBLANK(F99)=0),F99,IF(COUNTBLANK($F$93:F98)=0,F98,""))</f>
        <v>Rework</v>
      </c>
      <c r="I98" s="89" t="s">
        <v>117</v>
      </c>
      <c r="N98" s="89" t="s">
        <v>117</v>
      </c>
      <c r="Q98" s="89"/>
      <c r="R98" s="89" t="s">
        <v>131</v>
      </c>
      <c r="AB98" s="89" t="s">
        <v>129</v>
      </c>
    </row>
    <row r="99" spans="3:28" x14ac:dyDescent="0.2">
      <c r="C99">
        <v>2</v>
      </c>
      <c r="D99">
        <f t="shared" si="1"/>
        <v>21</v>
      </c>
      <c r="E99" s="110" t="str">
        <f t="shared" si="0"/>
        <v/>
      </c>
      <c r="F99" t="s">
        <v>175</v>
      </c>
      <c r="G99" t="str">
        <f>IF(AND(COUNTBLANK($F$93:F99)=1,COUNTBLANK(F100)=0),F100,IF(COUNTBLANK($F$93:F99)=0,F99,""))</f>
        <v>Rework Line for Defective Goods</v>
      </c>
      <c r="I99" s="89" t="s">
        <v>129</v>
      </c>
      <c r="N99" s="89" t="s">
        <v>129</v>
      </c>
      <c r="R99" s="89" t="s">
        <v>129</v>
      </c>
      <c r="AB99" s="89"/>
    </row>
    <row r="100" spans="3:28" x14ac:dyDescent="0.2">
      <c r="C100">
        <v>2</v>
      </c>
      <c r="D100">
        <f t="shared" si="1"/>
        <v>24</v>
      </c>
      <c r="E100" s="110" t="str">
        <f t="shared" si="0"/>
        <v/>
      </c>
      <c r="F100" t="s">
        <v>174</v>
      </c>
      <c r="G100" t="str">
        <f>IF(AND(COUNTBLANK($F$93:F100)=1,COUNTBLANK(F101)=0),F101,IF(COUNTBLANK($F$93:F100)=0,F100,""))</f>
        <v>Reworked Goods</v>
      </c>
      <c r="I100" s="89" t="s">
        <v>130</v>
      </c>
      <c r="N100" s="89" t="s">
        <v>130</v>
      </c>
      <c r="R100" s="89"/>
    </row>
    <row r="101" spans="3:28" x14ac:dyDescent="0.2">
      <c r="C101">
        <v>2</v>
      </c>
      <c r="D101">
        <f t="shared" si="1"/>
        <v>27</v>
      </c>
      <c r="E101" s="110" t="str">
        <f t="shared" si="0"/>
        <v/>
      </c>
      <c r="F101" t="s">
        <v>176</v>
      </c>
      <c r="G101" t="str">
        <f>IF(AND(COUNTBLANK($F$93:F101)=1,COUNTBLANK(F102)=0),F102,IF(COUNTBLANK($F$93:F101)=0,F101,""))</f>
        <v/>
      </c>
      <c r="I101" s="89" t="s">
        <v>131</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
      </c>
      <c r="G143" t="str">
        <f>IF(AND(COUNTBLANK($F$93:F143)=1,COUNTBLANK(F144)=0),F144,IF(COUNTBLANK($F$93:F143)=0,F143,""))</f>
        <v/>
      </c>
    </row>
    <row r="144" spans="1:7" x14ac:dyDescent="0.2">
      <c r="A144" s="103" t="s">
        <v>100</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99</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Raw Materials</v>
      </c>
      <c r="G693" t="str">
        <f>IF(AND(COUNTBLANK($F$93:F693)=1,COUNTBLANK(F694)=0),F694,IF(COUNTBLANK($F$93:F693)=0,F693,""))</f>
        <v/>
      </c>
    </row>
    <row r="694" spans="1:7" x14ac:dyDescent="0.2">
      <c r="A694" s="103" t="s">
        <v>99</v>
      </c>
      <c r="C694">
        <v>2</v>
      </c>
      <c r="D694">
        <f>3+D693</f>
        <v>6</v>
      </c>
      <c r="E694" s="110" t="str">
        <f t="shared" ref="E694:E757" si="29">INDEX($B$35:$EU$50,C694,D694)</f>
        <v>Finished Goods</v>
      </c>
      <c r="G694" t="str">
        <f>IF(AND(COUNTBLANK($F$93:F694)=1,COUNTBLANK(F695)=0),F695,IF(COUNTBLANK($F$93:F694)=0,F694,""))</f>
        <v/>
      </c>
    </row>
    <row r="695" spans="1:7" x14ac:dyDescent="0.2">
      <c r="C695">
        <v>2</v>
      </c>
      <c r="D695">
        <f t="shared" ref="D695:D731" si="30">3+D694</f>
        <v>9</v>
      </c>
      <c r="E695" s="110" t="str">
        <f t="shared" si="29"/>
        <v>Rework Line for Defective Goods</v>
      </c>
      <c r="G695" t="str">
        <f>IF(AND(COUNTBLANK($F$93:F695)=1,COUNTBLANK(F696)=0),F696,IF(COUNTBLANK($F$93:F695)=0,F695,""))</f>
        <v/>
      </c>
    </row>
    <row r="696" spans="1:7" x14ac:dyDescent="0.2">
      <c r="C696">
        <v>2</v>
      </c>
      <c r="D696">
        <f t="shared" si="30"/>
        <v>12</v>
      </c>
      <c r="E696" s="110" t="str">
        <f t="shared" si="29"/>
        <v>Reworked Goods</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Production</v>
      </c>
      <c r="G743" t="str">
        <f>IF(AND(COUNTBLANK($F$93:F743)=1,COUNTBLANK(F744)=0),F744,IF(COUNTBLANK($F$93:F743)=0,F743,""))</f>
        <v/>
      </c>
    </row>
    <row r="744" spans="1:7" x14ac:dyDescent="0.2">
      <c r="A744" s="103" t="s">
        <v>100</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Rework</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DP</v>
      </c>
      <c r="G1243" t="str">
        <f>IF(AND(COUNTBLANK($F$93:F1243)=1,COUNTBLANK(F1244)=0),F1244,IF(COUNTBLANK($F$93:F1243)=0,F1243,""))</f>
        <v/>
      </c>
    </row>
    <row r="1244" spans="1:7" x14ac:dyDescent="0.2">
      <c r="A1244" s="103" t="s">
        <v>99</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Rework Line for Defective Goods</v>
      </c>
      <c r="G1293" t="str">
        <f>IF(AND(COUNTBLANK($F$93:F1293)=1,COUNTBLANK(F1294)=0),F1294,IF(COUNTBLANK($F$93:F1293)=0,F1293,""))</f>
        <v/>
      </c>
    </row>
    <row r="1294" spans="1:7" x14ac:dyDescent="0.2">
      <c r="A1294" s="103" t="s">
        <v>100</v>
      </c>
      <c r="C1294">
        <v>6</v>
      </c>
      <c r="D1294" s="106">
        <v>2</v>
      </c>
      <c r="E1294" s="110" t="str">
        <f t="shared" si="56"/>
        <v>Finished Goods</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Production</v>
      </c>
      <c r="G1793" t="str">
        <f>IF(AND(COUNTBLANK($F$93:F1793)=1,COUNTBLANK(F1794)=0),F1794,IF(COUNTBLANK($F$93:F1793)=0,F1793,""))</f>
        <v/>
      </c>
    </row>
    <row r="1794" spans="1:7" x14ac:dyDescent="0.2">
      <c r="A1794" s="103" t="s">
        <v>99</v>
      </c>
      <c r="C1794">
        <v>2</v>
      </c>
      <c r="D1794">
        <f>D1793+5</f>
        <v>9</v>
      </c>
      <c r="E1794" s="110" t="str">
        <f t="shared" ref="E1794:E1857" si="91">INDEX($B$75:$IQ$89,C1794,D1794)</f>
        <v>Quality Inspection</v>
      </c>
      <c r="G1794" t="str">
        <f>IF(AND(COUNTBLANK($F$93:F1794)=1,COUNTBLANK(F1795)=0),F1795,IF(COUNTBLANK($F$93:F1794)=0,F1794,""))</f>
        <v/>
      </c>
    </row>
    <row r="1795" spans="1:7" x14ac:dyDescent="0.2">
      <c r="C1795">
        <v>2</v>
      </c>
      <c r="D1795">
        <f t="shared" ref="D1795:D1842" si="92">D1794+5</f>
        <v>14</v>
      </c>
      <c r="E1795" s="110" t="str">
        <f t="shared" si="91"/>
        <v>Rework</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Quality Inspection</v>
      </c>
      <c r="G1843" t="str">
        <f>IF(AND(COUNTBLANK($F$93:F1843)=1,COUNTBLANK(F1844)=0),F1844,IF(COUNTBLANK($F$93:F1843)=0,F1843,""))</f>
        <v/>
      </c>
    </row>
    <row r="1844" spans="1:7" x14ac:dyDescent="0.2">
      <c r="A1844" s="103" t="s">
        <v>100</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DP</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Reworked Goods</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94</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59" t="s">
        <v>148</v>
      </c>
      <c r="D20" s="121" t="s">
        <v>121</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B65"/>
  <sheetViews>
    <sheetView workbookViewId="0">
      <selection activeCell="C49" sqref="C49"/>
    </sheetView>
  </sheetViews>
  <sheetFormatPr defaultRowHeight="12.75" x14ac:dyDescent="0.2"/>
  <cols>
    <col min="1" max="1" width="14.42578125" customWidth="1"/>
    <col min="2" max="2" width="27.85546875" customWidth="1"/>
    <col min="3" max="3" width="22.42578125" customWidth="1"/>
    <col min="4" max="4" width="8.28515625" customWidth="1"/>
    <col min="5" max="54" width="10.5703125" customWidth="1"/>
    <col min="55" max="94" width="7.85546875" customWidth="1"/>
    <col min="95" max="95" width="11.28515625" customWidth="1"/>
    <col min="96" max="97" width="7.85546875" customWidth="1"/>
    <col min="98" max="98" width="11.28515625" customWidth="1"/>
    <col min="99" max="105" width="7.85546875" customWidth="1"/>
    <col min="106" max="204" width="11.28515625" bestFit="1" customWidth="1"/>
  </cols>
  <sheetData>
    <row r="1" spans="1:54" ht="18" x14ac:dyDescent="0.25">
      <c r="A1" s="1" t="s">
        <v>62</v>
      </c>
    </row>
    <row r="2" spans="1:54" x14ac:dyDescent="0.2">
      <c r="H2" s="183"/>
    </row>
    <row r="3" spans="1:54" ht="15.75" x14ac:dyDescent="0.25">
      <c r="A3" s="66" t="s">
        <v>63</v>
      </c>
      <c r="B3" s="80" t="s">
        <v>63</v>
      </c>
      <c r="C3" s="67" t="s">
        <v>64</v>
      </c>
      <c r="D3" s="130" t="s">
        <v>179</v>
      </c>
      <c r="E3" s="188" t="s">
        <v>178</v>
      </c>
    </row>
    <row r="4" spans="1:54" ht="16.5" thickBot="1" x14ac:dyDescent="0.3">
      <c r="A4" s="84" t="s">
        <v>65</v>
      </c>
      <c r="B4" s="85" t="s">
        <v>66</v>
      </c>
      <c r="C4" s="86"/>
      <c r="D4" s="84" t="s">
        <v>180</v>
      </c>
      <c r="E4" s="188">
        <v>1</v>
      </c>
      <c r="F4" s="130">
        <v>2</v>
      </c>
      <c r="G4" s="130">
        <v>3</v>
      </c>
      <c r="H4" s="130">
        <v>4</v>
      </c>
      <c r="I4" s="130">
        <v>5</v>
      </c>
      <c r="J4" s="130">
        <v>6</v>
      </c>
      <c r="K4" s="130">
        <v>7</v>
      </c>
      <c r="L4" s="130">
        <v>8</v>
      </c>
      <c r="M4" s="130">
        <v>9</v>
      </c>
      <c r="N4" s="130">
        <v>10</v>
      </c>
      <c r="O4" s="130">
        <v>11</v>
      </c>
      <c r="P4" s="130">
        <v>12</v>
      </c>
      <c r="Q4" s="130">
        <v>13</v>
      </c>
      <c r="R4" s="130">
        <v>14</v>
      </c>
      <c r="S4" s="130">
        <v>15</v>
      </c>
      <c r="T4" s="130">
        <v>16</v>
      </c>
      <c r="U4" s="130">
        <v>17</v>
      </c>
      <c r="V4" s="130">
        <v>18</v>
      </c>
      <c r="W4" s="130">
        <v>19</v>
      </c>
      <c r="X4" s="130">
        <v>20</v>
      </c>
      <c r="Y4" s="130">
        <v>21</v>
      </c>
      <c r="Z4" s="130">
        <v>22</v>
      </c>
      <c r="AA4" s="130">
        <v>23</v>
      </c>
      <c r="AB4" s="130">
        <v>24</v>
      </c>
      <c r="AC4" s="130">
        <v>25</v>
      </c>
      <c r="AD4" s="130">
        <v>26</v>
      </c>
      <c r="AE4" s="130">
        <v>27</v>
      </c>
      <c r="AF4" s="130">
        <v>28</v>
      </c>
      <c r="AG4" s="130">
        <v>29</v>
      </c>
      <c r="AH4" s="130">
        <v>30</v>
      </c>
      <c r="AI4" s="130">
        <v>31</v>
      </c>
      <c r="AJ4" s="130">
        <v>32</v>
      </c>
      <c r="AK4" s="130">
        <v>33</v>
      </c>
      <c r="AL4" s="130">
        <v>34</v>
      </c>
      <c r="AM4" s="130">
        <v>35</v>
      </c>
      <c r="AN4" s="130">
        <v>36</v>
      </c>
      <c r="AO4" s="130">
        <v>37</v>
      </c>
      <c r="AP4" s="130">
        <v>38</v>
      </c>
      <c r="AQ4" s="130">
        <v>39</v>
      </c>
      <c r="AR4" s="130">
        <v>40</v>
      </c>
      <c r="AS4" s="130">
        <v>41</v>
      </c>
      <c r="AT4" s="130">
        <v>42</v>
      </c>
      <c r="AU4" s="130">
        <v>43</v>
      </c>
      <c r="AV4" s="130">
        <v>44</v>
      </c>
      <c r="AW4" s="130">
        <v>45</v>
      </c>
      <c r="AX4" s="130">
        <v>46</v>
      </c>
      <c r="AY4" s="130">
        <v>47</v>
      </c>
      <c r="AZ4" s="130">
        <v>48</v>
      </c>
      <c r="BA4" s="130">
        <v>49</v>
      </c>
      <c r="BB4" s="130">
        <v>50</v>
      </c>
    </row>
    <row r="5" spans="1:54" x14ac:dyDescent="0.2">
      <c r="E5" s="192"/>
      <c r="F5" s="193"/>
      <c r="G5" s="193"/>
      <c r="H5" s="193"/>
      <c r="I5" s="193"/>
      <c r="J5" s="193"/>
      <c r="K5" s="193"/>
      <c r="L5" s="193"/>
      <c r="M5" s="193"/>
      <c r="N5" s="193"/>
      <c r="O5" s="193"/>
      <c r="P5" s="193"/>
      <c r="Q5" s="193"/>
      <c r="R5" s="193"/>
      <c r="S5" s="193"/>
      <c r="T5" s="193"/>
      <c r="U5" s="193"/>
      <c r="V5" s="193"/>
      <c r="W5" s="193"/>
      <c r="X5" s="193"/>
      <c r="Y5" s="193"/>
      <c r="Z5" s="193"/>
      <c r="AA5" s="193"/>
      <c r="AB5" s="193"/>
      <c r="AC5" s="193"/>
      <c r="AD5" s="193"/>
      <c r="AE5" s="193"/>
      <c r="AF5" s="193"/>
      <c r="AG5" s="193"/>
      <c r="AH5" s="193"/>
      <c r="AI5" s="193"/>
      <c r="AJ5" s="193"/>
      <c r="AK5" s="193"/>
      <c r="AL5" s="193"/>
      <c r="AM5" s="193"/>
      <c r="AN5" s="193"/>
      <c r="AO5" s="193"/>
      <c r="AP5" s="193"/>
      <c r="AQ5" s="193"/>
      <c r="AR5" s="193"/>
      <c r="AS5" s="193"/>
      <c r="AT5" s="193"/>
      <c r="AU5" s="193"/>
      <c r="AV5" s="193"/>
      <c r="AW5" s="193"/>
      <c r="AX5" s="193"/>
      <c r="AY5" s="193"/>
      <c r="AZ5" s="193"/>
      <c r="BA5" s="193"/>
      <c r="BB5" s="193"/>
    </row>
    <row r="6" spans="1:54" x14ac:dyDescent="0.2">
      <c r="A6" t="s">
        <v>181</v>
      </c>
      <c r="B6" t="s">
        <v>172</v>
      </c>
      <c r="C6" t="s">
        <v>182</v>
      </c>
      <c r="D6" s="194" t="s">
        <v>200</v>
      </c>
      <c r="E6" s="189" t="s">
        <v>197</v>
      </c>
      <c r="F6" t="s">
        <v>197</v>
      </c>
      <c r="G6" t="s">
        <v>197</v>
      </c>
      <c r="H6" t="s">
        <v>197</v>
      </c>
      <c r="I6" t="s">
        <v>197</v>
      </c>
      <c r="J6" t="s">
        <v>197</v>
      </c>
      <c r="K6" t="s">
        <v>197</v>
      </c>
      <c r="L6" t="s">
        <v>197</v>
      </c>
      <c r="M6" t="s">
        <v>197</v>
      </c>
      <c r="N6" t="s">
        <v>197</v>
      </c>
      <c r="O6" t="s">
        <v>197</v>
      </c>
      <c r="P6" t="s">
        <v>197</v>
      </c>
      <c r="Q6" t="s">
        <v>197</v>
      </c>
      <c r="R6" t="s">
        <v>197</v>
      </c>
      <c r="S6" t="s">
        <v>197</v>
      </c>
      <c r="T6" t="s">
        <v>197</v>
      </c>
      <c r="U6" t="s">
        <v>197</v>
      </c>
      <c r="V6" t="s">
        <v>197</v>
      </c>
      <c r="W6" t="s">
        <v>197</v>
      </c>
      <c r="X6" t="s">
        <v>197</v>
      </c>
      <c r="Y6" t="s">
        <v>197</v>
      </c>
      <c r="Z6" t="s">
        <v>197</v>
      </c>
      <c r="AA6" t="s">
        <v>197</v>
      </c>
      <c r="AB6" t="s">
        <v>197</v>
      </c>
      <c r="AC6" t="s">
        <v>197</v>
      </c>
      <c r="AD6" t="s">
        <v>197</v>
      </c>
      <c r="AE6" t="s">
        <v>197</v>
      </c>
      <c r="AF6" t="s">
        <v>197</v>
      </c>
      <c r="AG6" t="s">
        <v>197</v>
      </c>
      <c r="AH6" t="s">
        <v>197</v>
      </c>
      <c r="AI6" t="s">
        <v>197</v>
      </c>
      <c r="AJ6" t="s">
        <v>197</v>
      </c>
      <c r="AK6" t="s">
        <v>197</v>
      </c>
      <c r="AL6" t="s">
        <v>197</v>
      </c>
      <c r="AM6" t="s">
        <v>197</v>
      </c>
      <c r="AN6" t="s">
        <v>197</v>
      </c>
      <c r="AO6" t="s">
        <v>197</v>
      </c>
      <c r="AP6" t="s">
        <v>197</v>
      </c>
      <c r="AQ6" t="s">
        <v>197</v>
      </c>
      <c r="AR6" t="s">
        <v>197</v>
      </c>
      <c r="AS6" t="s">
        <v>197</v>
      </c>
      <c r="AT6" t="s">
        <v>197</v>
      </c>
      <c r="AU6" t="s">
        <v>197</v>
      </c>
      <c r="AV6" t="s">
        <v>197</v>
      </c>
      <c r="AW6" t="s">
        <v>197</v>
      </c>
      <c r="AX6" t="s">
        <v>197</v>
      </c>
      <c r="AY6" t="s">
        <v>197</v>
      </c>
      <c r="AZ6" t="s">
        <v>197</v>
      </c>
      <c r="BA6" t="s">
        <v>197</v>
      </c>
      <c r="BB6" t="s">
        <v>197</v>
      </c>
    </row>
    <row r="7" spans="1:54" x14ac:dyDescent="0.2">
      <c r="C7" t="s">
        <v>183</v>
      </c>
      <c r="D7" s="183">
        <v>0</v>
      </c>
      <c r="E7" s="189">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row>
    <row r="8" spans="1:54" x14ac:dyDescent="0.2">
      <c r="C8" t="s">
        <v>184</v>
      </c>
      <c r="D8" s="183">
        <v>1.096603521135224E-2</v>
      </c>
      <c r="E8" s="190">
        <v>8.789696177892747E-3</v>
      </c>
      <c r="F8" s="183">
        <v>1.1092074242268161E-2</v>
      </c>
      <c r="G8" s="183">
        <v>8.6345147532055425E-3</v>
      </c>
      <c r="H8" s="183">
        <v>1.1195196916773264E-2</v>
      </c>
      <c r="I8" s="183">
        <v>1.1864931975637531E-2</v>
      </c>
      <c r="J8" s="183">
        <v>1.3867705492885593E-2</v>
      </c>
      <c r="K8" s="183">
        <v>9.9749204920019704E-3</v>
      </c>
      <c r="L8" s="183">
        <v>1.9978756198645146E-2</v>
      </c>
      <c r="M8" s="183">
        <v>1.9806716331673375E-2</v>
      </c>
      <c r="N8" s="183">
        <v>5.9850810010335428E-3</v>
      </c>
      <c r="O8" s="183">
        <v>1.3866817375479753E-2</v>
      </c>
      <c r="P8" s="183">
        <v>1.1377808172698956E-2</v>
      </c>
      <c r="Q8" s="183">
        <v>1.0482678675069338E-2</v>
      </c>
      <c r="R8" s="183">
        <v>3.2367345600041435E-3</v>
      </c>
      <c r="S8" s="183">
        <v>1.3969087148892592E-3</v>
      </c>
      <c r="T8" s="183">
        <v>8.6169764058525531E-3</v>
      </c>
      <c r="U8" s="183">
        <v>1.3074707278638886E-2</v>
      </c>
      <c r="V8" s="183">
        <v>1.1856906161037295E-2</v>
      </c>
      <c r="W8" s="183">
        <v>1.3816566894556443E-2</v>
      </c>
      <c r="X8" s="183">
        <v>6.7137735893892936E-3</v>
      </c>
      <c r="Y8" s="183">
        <v>2.4599520022868526E-2</v>
      </c>
      <c r="Z8" s="183">
        <v>3.3777895579619375E-3</v>
      </c>
      <c r="AA8" s="183">
        <v>3.6725255896500773E-3</v>
      </c>
      <c r="AB8" s="183">
        <v>9.4356969124973194E-3</v>
      </c>
      <c r="AC8" s="183">
        <v>9.6740898905395174E-3</v>
      </c>
      <c r="AD8" s="183">
        <v>1.6200608598820991E-2</v>
      </c>
      <c r="AE8" s="183">
        <v>3.1413100312317256E-3</v>
      </c>
      <c r="AF8" s="183">
        <v>1.5638074961526884E-2</v>
      </c>
      <c r="AG8" s="183">
        <v>1.0464392960399456E-2</v>
      </c>
      <c r="AH8" s="183">
        <v>1.6672508575317643E-2</v>
      </c>
      <c r="AI8" s="183">
        <v>4.6558849408618501E-3</v>
      </c>
      <c r="AJ8" s="183">
        <v>1.0556953782760618E-2</v>
      </c>
      <c r="AK8" s="183">
        <v>1.2851222822611079E-2</v>
      </c>
      <c r="AL8" s="183">
        <v>1.0561997991497041E-2</v>
      </c>
      <c r="AM8" s="183">
        <v>2.3401253798429226E-2</v>
      </c>
      <c r="AN8" s="183">
        <v>1.6920305381252436E-2</v>
      </c>
      <c r="AO8" s="183">
        <v>1.4157275633583459E-2</v>
      </c>
      <c r="AP8" s="183">
        <v>5.2708239906066696E-3</v>
      </c>
      <c r="AQ8" s="183">
        <v>3.3269844554279725E-3</v>
      </c>
      <c r="AR8" s="183">
        <v>9.0012401299107182E-3</v>
      </c>
      <c r="AS8" s="183">
        <v>7.8962092405444537E-3</v>
      </c>
      <c r="AT8" s="183">
        <v>1.4128179685662379E-2</v>
      </c>
      <c r="AU8" s="183">
        <v>1.018008351867635E-2</v>
      </c>
      <c r="AV8" s="183">
        <v>1.0671515014324069E-2</v>
      </c>
      <c r="AW8" s="183">
        <v>1.1736333471837253E-2</v>
      </c>
      <c r="AX8" s="183">
        <v>1.7380962565655696E-2</v>
      </c>
      <c r="AY8" s="183">
        <v>1.2841602072872001E-2</v>
      </c>
      <c r="AZ8" s="183">
        <v>1.316309046364314E-2</v>
      </c>
      <c r="BA8" s="183">
        <v>7.1932226955753334E-3</v>
      </c>
      <c r="BB8" s="183">
        <v>3.9006304014333804E-3</v>
      </c>
    </row>
    <row r="9" spans="1:54" ht="15" x14ac:dyDescent="0.25">
      <c r="C9" s="195" t="s">
        <v>185</v>
      </c>
      <c r="D9" s="183">
        <v>5.552055423626065E-2</v>
      </c>
      <c r="E9" s="190">
        <v>4.5366173821381924E-2</v>
      </c>
      <c r="F9" s="183">
        <v>5.7871691698790403E-2</v>
      </c>
      <c r="G9" s="183">
        <v>4.5049642190637618E-2</v>
      </c>
      <c r="H9" s="183">
        <v>5.6565205474222807E-2</v>
      </c>
      <c r="I9" s="183">
        <v>5.8713065446453758E-2</v>
      </c>
      <c r="J9" s="183">
        <v>6.7923455475357997E-2</v>
      </c>
      <c r="K9" s="183">
        <v>4.9874602460009854E-2</v>
      </c>
      <c r="L9" s="183">
        <v>0.10094529447736494</v>
      </c>
      <c r="M9" s="183">
        <v>0.10114067914045979</v>
      </c>
      <c r="N9" s="183">
        <v>3.056211574995852E-2</v>
      </c>
      <c r="O9" s="183">
        <v>7.0063919370845065E-2</v>
      </c>
      <c r="P9" s="183">
        <v>5.8099445988249988E-2</v>
      </c>
      <c r="Q9" s="183">
        <v>5.3528571957800877E-2</v>
      </c>
      <c r="R9" s="183">
        <v>1.6887310747847706E-2</v>
      </c>
      <c r="S9" s="183">
        <v>7.2882193820309185E-3</v>
      </c>
      <c r="T9" s="183">
        <v>4.2640707987723979E-2</v>
      </c>
      <c r="U9" s="183">
        <v>6.8215864062463757E-2</v>
      </c>
      <c r="V9" s="183">
        <v>5.8673350075236101E-2</v>
      </c>
      <c r="W9" s="183">
        <v>7.2086435971598833E-2</v>
      </c>
      <c r="X9" s="183">
        <v>3.4283099179860221E-2</v>
      </c>
      <c r="Y9" s="183">
        <v>0.12696526463416014</v>
      </c>
      <c r="Z9" s="183">
        <v>1.7816911954084944E-2</v>
      </c>
      <c r="AA9" s="183">
        <v>1.8555918768758287E-2</v>
      </c>
      <c r="AB9" s="183">
        <v>4.7178484562486599E-2</v>
      </c>
      <c r="AC9" s="183">
        <v>4.9930786531816859E-2</v>
      </c>
      <c r="AD9" s="183">
        <v>8.1003042994104948E-2</v>
      </c>
      <c r="AE9" s="183">
        <v>1.6040732074374769E-2</v>
      </c>
      <c r="AF9" s="183">
        <v>7.9013431384556895E-2</v>
      </c>
      <c r="AG9" s="183">
        <v>5.4009770118190741E-2</v>
      </c>
      <c r="AH9" s="183">
        <v>8.3362542876588216E-2</v>
      </c>
      <c r="AI9" s="183">
        <v>2.2804334404221308E-2</v>
      </c>
      <c r="AJ9" s="183">
        <v>5.4487503394893513E-2</v>
      </c>
      <c r="AK9" s="183">
        <v>6.4256114113055388E-2</v>
      </c>
      <c r="AL9" s="183">
        <v>5.336588458861663E-2</v>
      </c>
      <c r="AM9" s="183">
        <v>0.11949576407708541</v>
      </c>
      <c r="AN9" s="183">
        <v>8.203784427273908E-2</v>
      </c>
      <c r="AO9" s="183">
        <v>6.9341758205306733E-2</v>
      </c>
      <c r="AP9" s="183">
        <v>2.72042528547441E-2</v>
      </c>
      <c r="AQ9" s="183">
        <v>1.6634922277139863E-2</v>
      </c>
      <c r="AR9" s="183">
        <v>4.4542219199558197E-2</v>
      </c>
      <c r="AS9" s="183">
        <v>3.9481046202722268E-2</v>
      </c>
      <c r="AT9" s="183">
        <v>7.1384486832820435E-2</v>
      </c>
      <c r="AU9" s="183">
        <v>5.2542366548006966E-2</v>
      </c>
      <c r="AV9" s="183">
        <v>5.5677469639951668E-2</v>
      </c>
      <c r="AW9" s="183">
        <v>5.9930213473211508E-2</v>
      </c>
      <c r="AX9" s="183">
        <v>8.6904812828278485E-2</v>
      </c>
      <c r="AY9" s="183">
        <v>6.3546072113181043E-2</v>
      </c>
      <c r="AZ9" s="183">
        <v>6.58154523182157E-2</v>
      </c>
      <c r="BA9" s="183">
        <v>3.6344704146064846E-2</v>
      </c>
      <c r="BB9" s="183">
        <v>2.0574753765802447E-2</v>
      </c>
    </row>
    <row r="10" spans="1:54" x14ac:dyDescent="0.2">
      <c r="C10" t="s">
        <v>186</v>
      </c>
      <c r="D10" s="183">
        <v>95.62</v>
      </c>
      <c r="E10" s="189">
        <v>94</v>
      </c>
      <c r="F10">
        <v>93</v>
      </c>
      <c r="G10">
        <v>93</v>
      </c>
      <c r="H10">
        <v>96</v>
      </c>
      <c r="I10">
        <v>98</v>
      </c>
      <c r="J10">
        <v>99</v>
      </c>
      <c r="K10">
        <v>97</v>
      </c>
      <c r="L10">
        <v>96</v>
      </c>
      <c r="M10">
        <v>95</v>
      </c>
      <c r="N10">
        <v>95</v>
      </c>
      <c r="O10">
        <v>96</v>
      </c>
      <c r="P10">
        <v>95</v>
      </c>
      <c r="Q10">
        <v>95</v>
      </c>
      <c r="R10">
        <v>93</v>
      </c>
      <c r="S10">
        <v>93</v>
      </c>
      <c r="T10">
        <v>98</v>
      </c>
      <c r="U10">
        <v>93</v>
      </c>
      <c r="V10">
        <v>98</v>
      </c>
      <c r="W10">
        <v>93</v>
      </c>
      <c r="X10">
        <v>95</v>
      </c>
      <c r="Y10">
        <v>94</v>
      </c>
      <c r="Z10">
        <v>92</v>
      </c>
      <c r="AA10">
        <v>96</v>
      </c>
      <c r="AB10">
        <v>97</v>
      </c>
      <c r="AC10">
        <v>94</v>
      </c>
      <c r="AD10">
        <v>97</v>
      </c>
      <c r="AE10">
        <v>95</v>
      </c>
      <c r="AF10">
        <v>96</v>
      </c>
      <c r="AG10">
        <v>94</v>
      </c>
      <c r="AH10">
        <v>97</v>
      </c>
      <c r="AI10">
        <v>99</v>
      </c>
      <c r="AJ10">
        <v>94</v>
      </c>
      <c r="AK10">
        <v>97</v>
      </c>
      <c r="AL10">
        <v>96</v>
      </c>
      <c r="AM10">
        <v>95</v>
      </c>
      <c r="AN10">
        <v>100</v>
      </c>
      <c r="AO10">
        <v>99</v>
      </c>
      <c r="AP10">
        <v>94</v>
      </c>
      <c r="AQ10">
        <v>97</v>
      </c>
      <c r="AR10">
        <v>98</v>
      </c>
      <c r="AS10">
        <v>97</v>
      </c>
      <c r="AT10">
        <v>96</v>
      </c>
      <c r="AU10">
        <v>94</v>
      </c>
      <c r="AV10">
        <v>93</v>
      </c>
      <c r="AW10">
        <v>95</v>
      </c>
      <c r="AX10">
        <v>97</v>
      </c>
      <c r="AY10">
        <v>98</v>
      </c>
      <c r="AZ10">
        <v>97</v>
      </c>
      <c r="BA10">
        <v>96</v>
      </c>
      <c r="BB10">
        <v>92</v>
      </c>
    </row>
    <row r="11" spans="1:54" x14ac:dyDescent="0.2">
      <c r="C11" t="s">
        <v>187</v>
      </c>
      <c r="D11" s="183">
        <v>0.9890339647886478</v>
      </c>
      <c r="E11" s="190">
        <v>0.99121030382210729</v>
      </c>
      <c r="F11" s="183">
        <v>0.98890792575773179</v>
      </c>
      <c r="G11" s="183">
        <v>0.99136548524679446</v>
      </c>
      <c r="H11" s="183">
        <v>0.98880480308322682</v>
      </c>
      <c r="I11" s="183">
        <v>0.98813506802436257</v>
      </c>
      <c r="J11" s="183">
        <v>0.98613229450711448</v>
      </c>
      <c r="K11" s="183">
        <v>0.9900250795079979</v>
      </c>
      <c r="L11" s="183">
        <v>0.9800212438013548</v>
      </c>
      <c r="M11" s="183">
        <v>0.98019328366832681</v>
      </c>
      <c r="N11" s="183">
        <v>0.99401491899896632</v>
      </c>
      <c r="O11" s="183">
        <v>0.98613318262452043</v>
      </c>
      <c r="P11" s="183">
        <v>0.98862219182730127</v>
      </c>
      <c r="Q11" s="183">
        <v>0.98951732132493064</v>
      </c>
      <c r="R11" s="183">
        <v>0.99676326543999594</v>
      </c>
      <c r="S11" s="183">
        <v>0.99860309128511082</v>
      </c>
      <c r="T11" s="183">
        <v>0.99138302359414743</v>
      </c>
      <c r="U11" s="183">
        <v>0.98692529272136109</v>
      </c>
      <c r="V11" s="183">
        <v>0.98814309383896282</v>
      </c>
      <c r="W11" s="183">
        <v>0.98618343310544354</v>
      </c>
      <c r="X11" s="183">
        <v>0.9932862264106106</v>
      </c>
      <c r="Y11" s="183">
        <v>0.97540047997713153</v>
      </c>
      <c r="Z11" s="183">
        <v>0.99662221044203803</v>
      </c>
      <c r="AA11" s="183">
        <v>0.99632747441034963</v>
      </c>
      <c r="AB11" s="183">
        <v>0.99056430308750276</v>
      </c>
      <c r="AC11" s="183">
        <v>0.99032591010946047</v>
      </c>
      <c r="AD11" s="183">
        <v>0.983799391401179</v>
      </c>
      <c r="AE11" s="183">
        <v>0.99685868996876825</v>
      </c>
      <c r="AF11" s="183">
        <v>0.98436192503847308</v>
      </c>
      <c r="AG11" s="183">
        <v>0.98953560703960053</v>
      </c>
      <c r="AH11" s="183">
        <v>0.98332749142468245</v>
      </c>
      <c r="AI11" s="183">
        <v>0.99534411505913811</v>
      </c>
      <c r="AJ11" s="183">
        <v>0.98944304621723933</v>
      </c>
      <c r="AK11" s="183">
        <v>0.9871487771773888</v>
      </c>
      <c r="AL11" s="183">
        <v>0.98943800200850296</v>
      </c>
      <c r="AM11" s="183">
        <v>0.97659874620157083</v>
      </c>
      <c r="AN11" s="183">
        <v>0.98307969461874756</v>
      </c>
      <c r="AO11" s="183">
        <v>0.98584272436641673</v>
      </c>
      <c r="AP11" s="183">
        <v>0.99472917600939337</v>
      </c>
      <c r="AQ11" s="183">
        <v>0.99667301554457199</v>
      </c>
      <c r="AR11" s="183">
        <v>0.99099875987008923</v>
      </c>
      <c r="AS11" s="183">
        <v>0.99210379075945565</v>
      </c>
      <c r="AT11" s="183">
        <v>0.98587182031433762</v>
      </c>
      <c r="AU11" s="183">
        <v>0.98981991648132372</v>
      </c>
      <c r="AV11" s="183">
        <v>0.98932848498567594</v>
      </c>
      <c r="AW11" s="183">
        <v>0.98826366652816267</v>
      </c>
      <c r="AX11" s="183">
        <v>0.98261903743434442</v>
      </c>
      <c r="AY11" s="183">
        <v>0.98715839792712801</v>
      </c>
      <c r="AZ11" s="183">
        <v>0.98683690953635694</v>
      </c>
      <c r="BA11" s="183">
        <v>0.99280677730442468</v>
      </c>
      <c r="BB11" s="183">
        <v>0.9960993695985666</v>
      </c>
    </row>
    <row r="12" spans="1:54" x14ac:dyDescent="0.2">
      <c r="C12" t="s">
        <v>188</v>
      </c>
      <c r="D12" s="183">
        <v>1.096603521135224E-2</v>
      </c>
      <c r="E12" s="190">
        <v>8.789696177892747E-3</v>
      </c>
      <c r="F12" s="183">
        <v>1.1092074242268161E-2</v>
      </c>
      <c r="G12" s="183">
        <v>8.6345147532055425E-3</v>
      </c>
      <c r="H12" s="183">
        <v>1.1195196916773264E-2</v>
      </c>
      <c r="I12" s="183">
        <v>1.1864931975637531E-2</v>
      </c>
      <c r="J12" s="183">
        <v>1.3867705492885593E-2</v>
      </c>
      <c r="K12" s="183">
        <v>9.9749204920019704E-3</v>
      </c>
      <c r="L12" s="183">
        <v>1.9978756198645146E-2</v>
      </c>
      <c r="M12" s="183">
        <v>1.9806716331673375E-2</v>
      </c>
      <c r="N12" s="183">
        <v>5.9850810010335428E-3</v>
      </c>
      <c r="O12" s="183">
        <v>1.3866817375479753E-2</v>
      </c>
      <c r="P12" s="183">
        <v>1.1377808172698956E-2</v>
      </c>
      <c r="Q12" s="183">
        <v>1.0482678675069338E-2</v>
      </c>
      <c r="R12" s="183">
        <v>3.2367345600041435E-3</v>
      </c>
      <c r="S12" s="183">
        <v>1.3969087148892592E-3</v>
      </c>
      <c r="T12" s="183">
        <v>8.6169764058525531E-3</v>
      </c>
      <c r="U12" s="183">
        <v>1.3074707278638886E-2</v>
      </c>
      <c r="V12" s="183">
        <v>1.1856906161037295E-2</v>
      </c>
      <c r="W12" s="183">
        <v>1.3816566894556443E-2</v>
      </c>
      <c r="X12" s="183">
        <v>6.7137735893892936E-3</v>
      </c>
      <c r="Y12" s="183">
        <v>2.4599520022868526E-2</v>
      </c>
      <c r="Z12" s="183">
        <v>3.3777895579619375E-3</v>
      </c>
      <c r="AA12" s="183">
        <v>3.6725255896500773E-3</v>
      </c>
      <c r="AB12" s="183">
        <v>9.4356969124973194E-3</v>
      </c>
      <c r="AC12" s="183">
        <v>9.6740898905395174E-3</v>
      </c>
      <c r="AD12" s="183">
        <v>1.6200608598820991E-2</v>
      </c>
      <c r="AE12" s="183">
        <v>3.1413100312317256E-3</v>
      </c>
      <c r="AF12" s="183">
        <v>1.5638074961526884E-2</v>
      </c>
      <c r="AG12" s="183">
        <v>1.0464392960399456E-2</v>
      </c>
      <c r="AH12" s="183">
        <v>1.6672508575317643E-2</v>
      </c>
      <c r="AI12" s="183">
        <v>4.6558849408618501E-3</v>
      </c>
      <c r="AJ12" s="183">
        <v>1.0556953782760618E-2</v>
      </c>
      <c r="AK12" s="183">
        <v>1.2851222822611079E-2</v>
      </c>
      <c r="AL12" s="183">
        <v>1.0561997991497041E-2</v>
      </c>
      <c r="AM12" s="183">
        <v>2.3401253798429226E-2</v>
      </c>
      <c r="AN12" s="183">
        <v>1.6920305381252436E-2</v>
      </c>
      <c r="AO12" s="183">
        <v>1.4157275633583459E-2</v>
      </c>
      <c r="AP12" s="183">
        <v>5.2708239906066696E-3</v>
      </c>
      <c r="AQ12" s="183">
        <v>3.3269844554279725E-3</v>
      </c>
      <c r="AR12" s="183">
        <v>9.0012401299107182E-3</v>
      </c>
      <c r="AS12" s="183">
        <v>7.8962092405444537E-3</v>
      </c>
      <c r="AT12" s="183">
        <v>1.4128179685662379E-2</v>
      </c>
      <c r="AU12" s="183">
        <v>1.018008351867635E-2</v>
      </c>
      <c r="AV12" s="183">
        <v>1.0671515014324069E-2</v>
      </c>
      <c r="AW12" s="183">
        <v>1.1736333471837253E-2</v>
      </c>
      <c r="AX12" s="183">
        <v>1.7380962565655696E-2</v>
      </c>
      <c r="AY12" s="183">
        <v>1.2841602072872001E-2</v>
      </c>
      <c r="AZ12" s="183">
        <v>1.316309046364314E-2</v>
      </c>
      <c r="BA12" s="183">
        <v>7.1932226955753334E-3</v>
      </c>
      <c r="BB12" s="183">
        <v>3.9006304014333804E-3</v>
      </c>
    </row>
    <row r="13" spans="1:54" x14ac:dyDescent="0.2">
      <c r="E13" s="189"/>
    </row>
    <row r="14" spans="1:54" x14ac:dyDescent="0.2">
      <c r="B14" t="s">
        <v>177</v>
      </c>
      <c r="C14" t="s">
        <v>182</v>
      </c>
      <c r="D14" s="194" t="s">
        <v>200</v>
      </c>
      <c r="E14" s="189" t="s">
        <v>198</v>
      </c>
      <c r="F14" t="s">
        <v>197</v>
      </c>
      <c r="G14" t="s">
        <v>197</v>
      </c>
      <c r="H14" t="s">
        <v>197</v>
      </c>
      <c r="I14" t="s">
        <v>197</v>
      </c>
      <c r="J14" t="s">
        <v>197</v>
      </c>
      <c r="K14" t="s">
        <v>197</v>
      </c>
      <c r="L14" t="s">
        <v>197</v>
      </c>
      <c r="M14" t="s">
        <v>197</v>
      </c>
      <c r="N14" t="s">
        <v>198</v>
      </c>
      <c r="O14" t="s">
        <v>197</v>
      </c>
      <c r="P14" t="s">
        <v>198</v>
      </c>
      <c r="Q14" t="s">
        <v>197</v>
      </c>
      <c r="R14" t="s">
        <v>198</v>
      </c>
      <c r="S14" t="s">
        <v>197</v>
      </c>
      <c r="T14" t="s">
        <v>198</v>
      </c>
      <c r="U14" t="s">
        <v>198</v>
      </c>
      <c r="V14" t="s">
        <v>198</v>
      </c>
      <c r="W14" t="s">
        <v>197</v>
      </c>
      <c r="X14" t="s">
        <v>198</v>
      </c>
      <c r="Y14" t="s">
        <v>198</v>
      </c>
      <c r="Z14" t="s">
        <v>197</v>
      </c>
      <c r="AA14" t="s">
        <v>197</v>
      </c>
      <c r="AB14" t="s">
        <v>197</v>
      </c>
      <c r="AC14" t="s">
        <v>198</v>
      </c>
      <c r="AD14" t="s">
        <v>198</v>
      </c>
      <c r="AE14" t="s">
        <v>197</v>
      </c>
      <c r="AF14" t="s">
        <v>197</v>
      </c>
      <c r="AG14" t="s">
        <v>198</v>
      </c>
      <c r="AH14" t="s">
        <v>197</v>
      </c>
      <c r="AI14" t="s">
        <v>197</v>
      </c>
      <c r="AJ14" t="s">
        <v>197</v>
      </c>
      <c r="AK14" t="s">
        <v>197</v>
      </c>
      <c r="AL14" t="s">
        <v>198</v>
      </c>
      <c r="AM14" t="s">
        <v>198</v>
      </c>
      <c r="AN14" t="s">
        <v>197</v>
      </c>
      <c r="AO14" t="s">
        <v>197</v>
      </c>
      <c r="AP14" t="s">
        <v>198</v>
      </c>
      <c r="AQ14" t="s">
        <v>198</v>
      </c>
      <c r="AR14" t="s">
        <v>197</v>
      </c>
      <c r="AS14" t="s">
        <v>198</v>
      </c>
      <c r="AT14" t="s">
        <v>197</v>
      </c>
      <c r="AU14" t="s">
        <v>197</v>
      </c>
      <c r="AV14" t="s">
        <v>198</v>
      </c>
      <c r="AW14" t="s">
        <v>198</v>
      </c>
      <c r="AX14" t="s">
        <v>198</v>
      </c>
      <c r="AY14" t="s">
        <v>198</v>
      </c>
      <c r="AZ14" t="s">
        <v>197</v>
      </c>
      <c r="BA14" t="s">
        <v>197</v>
      </c>
      <c r="BB14" t="s">
        <v>198</v>
      </c>
    </row>
    <row r="15" spans="1:54" x14ac:dyDescent="0.2">
      <c r="C15" t="s">
        <v>183</v>
      </c>
      <c r="D15" s="183">
        <v>0</v>
      </c>
      <c r="E15" s="189">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row>
    <row r="16" spans="1:54" x14ac:dyDescent="0.2">
      <c r="C16" t="s">
        <v>184</v>
      </c>
      <c r="D16" s="183">
        <v>0</v>
      </c>
      <c r="E16" s="190">
        <v>0</v>
      </c>
      <c r="F16" s="183">
        <v>0</v>
      </c>
      <c r="G16" s="183">
        <v>0</v>
      </c>
      <c r="H16" s="183">
        <v>0</v>
      </c>
      <c r="I16" s="183">
        <v>0</v>
      </c>
      <c r="J16" s="183">
        <v>0</v>
      </c>
      <c r="K16" s="183">
        <v>0</v>
      </c>
      <c r="L16" s="183">
        <v>0</v>
      </c>
      <c r="M16" s="183">
        <v>0</v>
      </c>
      <c r="N16" s="183">
        <v>0</v>
      </c>
      <c r="O16" s="183">
        <v>0</v>
      </c>
      <c r="P16" s="183">
        <v>0</v>
      </c>
      <c r="Q16" s="183">
        <v>0</v>
      </c>
      <c r="R16" s="183">
        <v>0</v>
      </c>
      <c r="S16" s="183">
        <v>0</v>
      </c>
      <c r="T16" s="183">
        <v>0</v>
      </c>
      <c r="U16" s="183">
        <v>0</v>
      </c>
      <c r="V16" s="183">
        <v>0</v>
      </c>
      <c r="W16" s="183">
        <v>0</v>
      </c>
      <c r="X16" s="183">
        <v>0</v>
      </c>
      <c r="Y16" s="183">
        <v>0</v>
      </c>
      <c r="Z16" s="183">
        <v>0</v>
      </c>
      <c r="AA16" s="183">
        <v>0</v>
      </c>
      <c r="AB16" s="183">
        <v>0</v>
      </c>
      <c r="AC16" s="183">
        <v>0</v>
      </c>
      <c r="AD16" s="183">
        <v>0</v>
      </c>
      <c r="AE16" s="183">
        <v>0</v>
      </c>
      <c r="AF16" s="183">
        <v>0</v>
      </c>
      <c r="AG16" s="183">
        <v>0</v>
      </c>
      <c r="AH16" s="183">
        <v>0</v>
      </c>
      <c r="AI16" s="183">
        <v>0</v>
      </c>
      <c r="AJ16" s="183">
        <v>0</v>
      </c>
      <c r="AK16" s="183">
        <v>0</v>
      </c>
      <c r="AL16" s="183">
        <v>0</v>
      </c>
      <c r="AM16" s="183">
        <v>0</v>
      </c>
      <c r="AN16" s="183">
        <v>0</v>
      </c>
      <c r="AO16" s="183">
        <v>0</v>
      </c>
      <c r="AP16" s="183">
        <v>0</v>
      </c>
      <c r="AQ16" s="183">
        <v>0</v>
      </c>
      <c r="AR16" s="183">
        <v>0</v>
      </c>
      <c r="AS16" s="183">
        <v>0</v>
      </c>
      <c r="AT16" s="183">
        <v>0</v>
      </c>
      <c r="AU16" s="183">
        <v>0</v>
      </c>
      <c r="AV16" s="183">
        <v>0</v>
      </c>
      <c r="AW16" s="183">
        <v>0</v>
      </c>
      <c r="AX16" s="183">
        <v>0</v>
      </c>
      <c r="AY16" s="183">
        <v>0</v>
      </c>
      <c r="AZ16" s="183">
        <v>0</v>
      </c>
      <c r="BA16" s="183">
        <v>0</v>
      </c>
      <c r="BB16" s="183">
        <v>0</v>
      </c>
    </row>
    <row r="17" spans="1:54" ht="15" x14ac:dyDescent="0.25">
      <c r="C17" s="195" t="s">
        <v>185</v>
      </c>
      <c r="D17" s="183">
        <v>0</v>
      </c>
      <c r="E17" s="190">
        <v>0</v>
      </c>
      <c r="F17" s="183">
        <v>0</v>
      </c>
      <c r="G17" s="183">
        <v>0</v>
      </c>
      <c r="H17" s="183">
        <v>0</v>
      </c>
      <c r="I17" s="183">
        <v>0</v>
      </c>
      <c r="J17" s="183">
        <v>0</v>
      </c>
      <c r="K17" s="183">
        <v>0</v>
      </c>
      <c r="L17" s="183">
        <v>0</v>
      </c>
      <c r="M17" s="183">
        <v>0</v>
      </c>
      <c r="N17" s="183">
        <v>0</v>
      </c>
      <c r="O17" s="183">
        <v>0</v>
      </c>
      <c r="P17" s="183">
        <v>0</v>
      </c>
      <c r="Q17" s="183">
        <v>0</v>
      </c>
      <c r="R17" s="183">
        <v>0</v>
      </c>
      <c r="S17" s="183">
        <v>0</v>
      </c>
      <c r="T17" s="183">
        <v>0</v>
      </c>
      <c r="U17" s="183">
        <v>0</v>
      </c>
      <c r="V17" s="183">
        <v>0</v>
      </c>
      <c r="W17" s="183">
        <v>0</v>
      </c>
      <c r="X17" s="183">
        <v>0</v>
      </c>
      <c r="Y17" s="183">
        <v>0</v>
      </c>
      <c r="Z17" s="183">
        <v>0</v>
      </c>
      <c r="AA17" s="183">
        <v>0</v>
      </c>
      <c r="AB17" s="183">
        <v>0</v>
      </c>
      <c r="AC17" s="183">
        <v>0</v>
      </c>
      <c r="AD17" s="183">
        <v>0</v>
      </c>
      <c r="AE17" s="183">
        <v>0</v>
      </c>
      <c r="AF17" s="183">
        <v>0</v>
      </c>
      <c r="AG17" s="183">
        <v>0</v>
      </c>
      <c r="AH17" s="183">
        <v>0</v>
      </c>
      <c r="AI17" s="183">
        <v>0</v>
      </c>
      <c r="AJ17" s="183">
        <v>0</v>
      </c>
      <c r="AK17" s="183">
        <v>0</v>
      </c>
      <c r="AL17" s="183">
        <v>0</v>
      </c>
      <c r="AM17" s="183">
        <v>0</v>
      </c>
      <c r="AN17" s="183">
        <v>0</v>
      </c>
      <c r="AO17" s="183">
        <v>0</v>
      </c>
      <c r="AP17" s="183">
        <v>0</v>
      </c>
      <c r="AQ17" s="183">
        <v>0</v>
      </c>
      <c r="AR17" s="183">
        <v>0</v>
      </c>
      <c r="AS17" s="183">
        <v>0</v>
      </c>
      <c r="AT17" s="183">
        <v>0</v>
      </c>
      <c r="AU17" s="183">
        <v>0</v>
      </c>
      <c r="AV17" s="183">
        <v>0</v>
      </c>
      <c r="AW17" s="183">
        <v>0</v>
      </c>
      <c r="AX17" s="183">
        <v>0</v>
      </c>
      <c r="AY17" s="183">
        <v>0</v>
      </c>
      <c r="AZ17" s="183">
        <v>0</v>
      </c>
      <c r="BA17" s="183">
        <v>0</v>
      </c>
      <c r="BB17" s="183">
        <v>0</v>
      </c>
    </row>
    <row r="18" spans="1:54" x14ac:dyDescent="0.2">
      <c r="C18" t="s">
        <v>186</v>
      </c>
      <c r="D18" s="183">
        <v>94.62</v>
      </c>
      <c r="E18" s="189">
        <v>93</v>
      </c>
      <c r="F18">
        <v>92</v>
      </c>
      <c r="G18">
        <v>92</v>
      </c>
      <c r="H18">
        <v>95</v>
      </c>
      <c r="I18">
        <v>97</v>
      </c>
      <c r="J18">
        <v>98</v>
      </c>
      <c r="K18">
        <v>96</v>
      </c>
      <c r="L18">
        <v>95</v>
      </c>
      <c r="M18">
        <v>94</v>
      </c>
      <c r="N18">
        <v>94</v>
      </c>
      <c r="O18">
        <v>95</v>
      </c>
      <c r="P18">
        <v>94</v>
      </c>
      <c r="Q18">
        <v>94</v>
      </c>
      <c r="R18">
        <v>92</v>
      </c>
      <c r="S18">
        <v>92</v>
      </c>
      <c r="T18">
        <v>97</v>
      </c>
      <c r="U18">
        <v>92</v>
      </c>
      <c r="V18">
        <v>97</v>
      </c>
      <c r="W18">
        <v>92</v>
      </c>
      <c r="X18">
        <v>94</v>
      </c>
      <c r="Y18">
        <v>93</v>
      </c>
      <c r="Z18">
        <v>91</v>
      </c>
      <c r="AA18">
        <v>95</v>
      </c>
      <c r="AB18">
        <v>96</v>
      </c>
      <c r="AC18">
        <v>93</v>
      </c>
      <c r="AD18">
        <v>96</v>
      </c>
      <c r="AE18">
        <v>94</v>
      </c>
      <c r="AF18">
        <v>95</v>
      </c>
      <c r="AG18">
        <v>93</v>
      </c>
      <c r="AH18">
        <v>96</v>
      </c>
      <c r="AI18">
        <v>98</v>
      </c>
      <c r="AJ18">
        <v>93</v>
      </c>
      <c r="AK18">
        <v>96</v>
      </c>
      <c r="AL18">
        <v>95</v>
      </c>
      <c r="AM18">
        <v>94</v>
      </c>
      <c r="AN18">
        <v>99</v>
      </c>
      <c r="AO18">
        <v>98</v>
      </c>
      <c r="AP18">
        <v>93</v>
      </c>
      <c r="AQ18">
        <v>96</v>
      </c>
      <c r="AR18">
        <v>97</v>
      </c>
      <c r="AS18">
        <v>96</v>
      </c>
      <c r="AT18">
        <v>95</v>
      </c>
      <c r="AU18">
        <v>93</v>
      </c>
      <c r="AV18">
        <v>92</v>
      </c>
      <c r="AW18">
        <v>94</v>
      </c>
      <c r="AX18">
        <v>96</v>
      </c>
      <c r="AY18">
        <v>97</v>
      </c>
      <c r="AZ18">
        <v>96</v>
      </c>
      <c r="BA18">
        <v>95</v>
      </c>
      <c r="BB18">
        <v>91</v>
      </c>
    </row>
    <row r="19" spans="1:54" x14ac:dyDescent="0.2">
      <c r="C19" t="s">
        <v>187</v>
      </c>
      <c r="D19" s="183">
        <v>0.59064249973260996</v>
      </c>
      <c r="E19" s="190">
        <v>0.57560839526685903</v>
      </c>
      <c r="F19" s="183">
        <v>0.59036635694068629</v>
      </c>
      <c r="G19" s="183">
        <v>0.55380373380958614</v>
      </c>
      <c r="H19" s="183">
        <v>0.58652794598259717</v>
      </c>
      <c r="I19" s="183">
        <v>0.60114709157592183</v>
      </c>
      <c r="J19" s="183">
        <v>0.59791558877138695</v>
      </c>
      <c r="K19" s="183">
        <v>0.57946735099128865</v>
      </c>
      <c r="L19" s="183">
        <v>0.59371528437124188</v>
      </c>
      <c r="M19" s="183">
        <v>0.5782347017052718</v>
      </c>
      <c r="N19" s="183">
        <v>0.59044674447003831</v>
      </c>
      <c r="O19" s="183">
        <v>0.59562694221761825</v>
      </c>
      <c r="P19" s="183">
        <v>0.60705408833596419</v>
      </c>
      <c r="Q19" s="183">
        <v>0.57882406700639588</v>
      </c>
      <c r="R19" s="183">
        <v>0.54578960302356705</v>
      </c>
      <c r="S19" s="183">
        <v>0.58274258341834206</v>
      </c>
      <c r="T19" s="183">
        <v>0.62169489895236107</v>
      </c>
      <c r="U19" s="183">
        <v>0.58229972778456129</v>
      </c>
      <c r="V19" s="183">
        <v>0.61510015427171483</v>
      </c>
      <c r="W19" s="183">
        <v>0.58121028554868204</v>
      </c>
      <c r="X19" s="183">
        <v>0.60976565590225662</v>
      </c>
      <c r="Y19" s="183">
        <v>0.6040695414501166</v>
      </c>
      <c r="Z19" s="183">
        <v>0.52883659849152154</v>
      </c>
      <c r="AA19" s="183">
        <v>0.58041169917229485</v>
      </c>
      <c r="AB19" s="183">
        <v>0.60229253136442451</v>
      </c>
      <c r="AC19" s="183">
        <v>0.58798891807221809</v>
      </c>
      <c r="AD19" s="183">
        <v>0.59739006740320522</v>
      </c>
      <c r="AE19" s="183">
        <v>0.59677941325321149</v>
      </c>
      <c r="AF19" s="183">
        <v>0.59368766861694722</v>
      </c>
      <c r="AG19" s="183">
        <v>0.57874474132457965</v>
      </c>
      <c r="AH19" s="183">
        <v>0.62719879713826665</v>
      </c>
      <c r="AI19" s="183">
        <v>0.57083211915659027</v>
      </c>
      <c r="AJ19" s="183">
        <v>0.5558632229645184</v>
      </c>
      <c r="AK19" s="183">
        <v>0.6053417281823773</v>
      </c>
      <c r="AL19" s="183">
        <v>0.57999360757978236</v>
      </c>
      <c r="AM19" s="183">
        <v>0.58664980363716701</v>
      </c>
      <c r="AN19" s="183">
        <v>0.61470969164186295</v>
      </c>
      <c r="AO19" s="183">
        <v>0.62615881603113543</v>
      </c>
      <c r="AP19" s="183">
        <v>0.56636437805569184</v>
      </c>
      <c r="AQ19" s="183">
        <v>0.56863131907814235</v>
      </c>
      <c r="AR19" s="183">
        <v>0.5972718464202742</v>
      </c>
      <c r="AS19" s="183">
        <v>0.59010627993616604</v>
      </c>
      <c r="AT19" s="183">
        <v>0.58397723289285153</v>
      </c>
      <c r="AU19" s="183">
        <v>0.59516313424843792</v>
      </c>
      <c r="AV19" s="183">
        <v>0.58459565937351743</v>
      </c>
      <c r="AW19" s="183">
        <v>0.58849534444251539</v>
      </c>
      <c r="AX19" s="183">
        <v>0.59882077854548643</v>
      </c>
      <c r="AY19" s="183">
        <v>0.61706496561542379</v>
      </c>
      <c r="AZ19" s="183">
        <v>0.6221075842056375</v>
      </c>
      <c r="BA19" s="183">
        <v>0.61613150463842681</v>
      </c>
      <c r="BB19" s="183">
        <v>0.5991047933513628</v>
      </c>
    </row>
    <row r="20" spans="1:54" x14ac:dyDescent="0.2">
      <c r="C20" t="s">
        <v>188</v>
      </c>
      <c r="D20" s="183">
        <v>0</v>
      </c>
      <c r="E20" s="190">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3">
        <v>0</v>
      </c>
      <c r="W20" s="183">
        <v>0</v>
      </c>
      <c r="X20" s="183">
        <v>0</v>
      </c>
      <c r="Y20" s="183">
        <v>0</v>
      </c>
      <c r="Z20" s="183">
        <v>0</v>
      </c>
      <c r="AA20" s="183">
        <v>0</v>
      </c>
      <c r="AB20" s="183">
        <v>0</v>
      </c>
      <c r="AC20" s="183">
        <v>0</v>
      </c>
      <c r="AD20" s="183">
        <v>0</v>
      </c>
      <c r="AE20" s="183">
        <v>0</v>
      </c>
      <c r="AF20" s="183">
        <v>0</v>
      </c>
      <c r="AG20" s="183">
        <v>0</v>
      </c>
      <c r="AH20" s="183">
        <v>0</v>
      </c>
      <c r="AI20" s="183">
        <v>0</v>
      </c>
      <c r="AJ20" s="183">
        <v>0</v>
      </c>
      <c r="AK20" s="183">
        <v>0</v>
      </c>
      <c r="AL20" s="183">
        <v>0</v>
      </c>
      <c r="AM20" s="183">
        <v>0</v>
      </c>
      <c r="AN20" s="183">
        <v>0</v>
      </c>
      <c r="AO20" s="183">
        <v>0</v>
      </c>
      <c r="AP20" s="183">
        <v>0</v>
      </c>
      <c r="AQ20" s="183">
        <v>0</v>
      </c>
      <c r="AR20" s="183">
        <v>0</v>
      </c>
      <c r="AS20" s="183">
        <v>0</v>
      </c>
      <c r="AT20" s="183">
        <v>0</v>
      </c>
      <c r="AU20" s="183">
        <v>0</v>
      </c>
      <c r="AV20" s="183">
        <v>0</v>
      </c>
      <c r="AW20" s="183">
        <v>0</v>
      </c>
      <c r="AX20" s="183">
        <v>0</v>
      </c>
      <c r="AY20" s="183">
        <v>0</v>
      </c>
      <c r="AZ20" s="183">
        <v>0</v>
      </c>
      <c r="BA20" s="183">
        <v>0</v>
      </c>
      <c r="BB20" s="183">
        <v>0</v>
      </c>
    </row>
    <row r="21" spans="1:54" x14ac:dyDescent="0.2">
      <c r="E21" s="189"/>
    </row>
    <row r="22" spans="1:54" x14ac:dyDescent="0.2">
      <c r="B22" t="s">
        <v>175</v>
      </c>
      <c r="C22" t="s">
        <v>182</v>
      </c>
      <c r="D22" s="194" t="s">
        <v>200</v>
      </c>
      <c r="E22" s="189" t="s">
        <v>198</v>
      </c>
      <c r="F22" t="s">
        <v>198</v>
      </c>
      <c r="G22" t="s">
        <v>198</v>
      </c>
      <c r="H22" t="s">
        <v>198</v>
      </c>
      <c r="I22" t="s">
        <v>198</v>
      </c>
      <c r="J22" t="s">
        <v>198</v>
      </c>
      <c r="K22" t="s">
        <v>198</v>
      </c>
      <c r="L22" t="s">
        <v>198</v>
      </c>
      <c r="M22" t="s">
        <v>198</v>
      </c>
      <c r="N22" t="s">
        <v>198</v>
      </c>
      <c r="O22" t="s">
        <v>198</v>
      </c>
      <c r="P22" t="s">
        <v>197</v>
      </c>
      <c r="Q22" t="s">
        <v>198</v>
      </c>
      <c r="R22" t="s">
        <v>198</v>
      </c>
      <c r="S22" t="s">
        <v>198</v>
      </c>
      <c r="T22" t="s">
        <v>198</v>
      </c>
      <c r="U22" t="s">
        <v>198</v>
      </c>
      <c r="V22" t="s">
        <v>198</v>
      </c>
      <c r="W22" t="s">
        <v>198</v>
      </c>
      <c r="X22" t="s">
        <v>198</v>
      </c>
      <c r="Y22" t="s">
        <v>198</v>
      </c>
      <c r="Z22" t="s">
        <v>198</v>
      </c>
      <c r="AA22" t="s">
        <v>198</v>
      </c>
      <c r="AB22" t="s">
        <v>198</v>
      </c>
      <c r="AC22" t="s">
        <v>198</v>
      </c>
      <c r="AD22" t="s">
        <v>198</v>
      </c>
      <c r="AE22" t="s">
        <v>198</v>
      </c>
      <c r="AF22" t="s">
        <v>198</v>
      </c>
      <c r="AG22" t="s">
        <v>198</v>
      </c>
      <c r="AH22" t="s">
        <v>198</v>
      </c>
      <c r="AI22" t="s">
        <v>198</v>
      </c>
      <c r="AJ22" t="s">
        <v>198</v>
      </c>
      <c r="AK22" t="s">
        <v>198</v>
      </c>
      <c r="AL22" t="s">
        <v>198</v>
      </c>
      <c r="AM22" t="s">
        <v>198</v>
      </c>
      <c r="AN22" t="s">
        <v>198</v>
      </c>
      <c r="AO22" t="s">
        <v>198</v>
      </c>
      <c r="AP22" t="s">
        <v>198</v>
      </c>
      <c r="AQ22" t="s">
        <v>197</v>
      </c>
      <c r="AR22" t="s">
        <v>198</v>
      </c>
      <c r="AS22" t="s">
        <v>198</v>
      </c>
      <c r="AT22" t="s">
        <v>198</v>
      </c>
      <c r="AU22" t="s">
        <v>198</v>
      </c>
      <c r="AV22" t="s">
        <v>198</v>
      </c>
      <c r="AW22" t="s">
        <v>197</v>
      </c>
      <c r="AX22" t="s">
        <v>198</v>
      </c>
      <c r="AY22" t="s">
        <v>198</v>
      </c>
      <c r="AZ22" t="s">
        <v>198</v>
      </c>
      <c r="BA22" t="s">
        <v>198</v>
      </c>
      <c r="BB22" t="s">
        <v>198</v>
      </c>
    </row>
    <row r="23" spans="1:54" x14ac:dyDescent="0.2">
      <c r="C23" t="s">
        <v>183</v>
      </c>
      <c r="D23" s="183">
        <v>0</v>
      </c>
      <c r="E23" s="189">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row>
    <row r="24" spans="1:54" x14ac:dyDescent="0.2">
      <c r="C24" t="s">
        <v>184</v>
      </c>
      <c r="D24" s="183">
        <v>0</v>
      </c>
      <c r="E24" s="190">
        <v>0</v>
      </c>
      <c r="F24" s="183">
        <v>0</v>
      </c>
      <c r="G24" s="183">
        <v>0</v>
      </c>
      <c r="H24" s="183">
        <v>0</v>
      </c>
      <c r="I24" s="183">
        <v>0</v>
      </c>
      <c r="J24" s="183">
        <v>0</v>
      </c>
      <c r="K24" s="183">
        <v>0</v>
      </c>
      <c r="L24" s="183">
        <v>0</v>
      </c>
      <c r="M24" s="183">
        <v>0</v>
      </c>
      <c r="N24" s="183">
        <v>0</v>
      </c>
      <c r="O24" s="183">
        <v>0</v>
      </c>
      <c r="P24" s="183">
        <v>0</v>
      </c>
      <c r="Q24" s="183">
        <v>0</v>
      </c>
      <c r="R24" s="183">
        <v>0</v>
      </c>
      <c r="S24" s="183">
        <v>0</v>
      </c>
      <c r="T24" s="183">
        <v>0</v>
      </c>
      <c r="U24" s="183">
        <v>0</v>
      </c>
      <c r="V24" s="183">
        <v>0</v>
      </c>
      <c r="W24" s="183">
        <v>0</v>
      </c>
      <c r="X24" s="183">
        <v>0</v>
      </c>
      <c r="Y24" s="183">
        <v>0</v>
      </c>
      <c r="Z24" s="183">
        <v>0</v>
      </c>
      <c r="AA24" s="183">
        <v>0</v>
      </c>
      <c r="AB24" s="183">
        <v>0</v>
      </c>
      <c r="AC24" s="183">
        <v>0</v>
      </c>
      <c r="AD24" s="183">
        <v>0</v>
      </c>
      <c r="AE24" s="183">
        <v>0</v>
      </c>
      <c r="AF24" s="183">
        <v>0</v>
      </c>
      <c r="AG24" s="183">
        <v>0</v>
      </c>
      <c r="AH24" s="183">
        <v>0</v>
      </c>
      <c r="AI24" s="183">
        <v>0</v>
      </c>
      <c r="AJ24" s="183">
        <v>0</v>
      </c>
      <c r="AK24" s="183">
        <v>0</v>
      </c>
      <c r="AL24" s="183">
        <v>0</v>
      </c>
      <c r="AM24" s="183">
        <v>0</v>
      </c>
      <c r="AN24" s="183">
        <v>0</v>
      </c>
      <c r="AO24" s="183">
        <v>0</v>
      </c>
      <c r="AP24" s="183">
        <v>0</v>
      </c>
      <c r="AQ24" s="183">
        <v>0</v>
      </c>
      <c r="AR24" s="183">
        <v>0</v>
      </c>
      <c r="AS24" s="183">
        <v>0</v>
      </c>
      <c r="AT24" s="183">
        <v>0</v>
      </c>
      <c r="AU24" s="183">
        <v>0</v>
      </c>
      <c r="AV24" s="183">
        <v>0</v>
      </c>
      <c r="AW24" s="183">
        <v>0</v>
      </c>
      <c r="AX24" s="183">
        <v>0</v>
      </c>
      <c r="AY24" s="183">
        <v>0</v>
      </c>
      <c r="AZ24" s="183">
        <v>0</v>
      </c>
      <c r="BA24" s="183">
        <v>0</v>
      </c>
      <c r="BB24" s="183">
        <v>0</v>
      </c>
    </row>
    <row r="25" spans="1:54" ht="15" x14ac:dyDescent="0.25">
      <c r="C25" s="195" t="s">
        <v>185</v>
      </c>
      <c r="D25" s="183">
        <v>0</v>
      </c>
      <c r="E25" s="190">
        <v>0</v>
      </c>
      <c r="F25" s="183">
        <v>0</v>
      </c>
      <c r="G25" s="183">
        <v>0</v>
      </c>
      <c r="H25" s="183">
        <v>0</v>
      </c>
      <c r="I25" s="183">
        <v>0</v>
      </c>
      <c r="J25" s="183">
        <v>0</v>
      </c>
      <c r="K25" s="183">
        <v>0</v>
      </c>
      <c r="L25" s="183">
        <v>0</v>
      </c>
      <c r="M25" s="183">
        <v>0</v>
      </c>
      <c r="N25" s="183">
        <v>0</v>
      </c>
      <c r="O25" s="183">
        <v>0</v>
      </c>
      <c r="P25" s="183">
        <v>0</v>
      </c>
      <c r="Q25" s="183">
        <v>0</v>
      </c>
      <c r="R25" s="183">
        <v>0</v>
      </c>
      <c r="S25" s="183">
        <v>0</v>
      </c>
      <c r="T25" s="183">
        <v>0</v>
      </c>
      <c r="U25" s="183">
        <v>0</v>
      </c>
      <c r="V25" s="183">
        <v>0</v>
      </c>
      <c r="W25" s="183">
        <v>0</v>
      </c>
      <c r="X25" s="183">
        <v>0</v>
      </c>
      <c r="Y25" s="183">
        <v>0</v>
      </c>
      <c r="Z25" s="183">
        <v>0</v>
      </c>
      <c r="AA25" s="183">
        <v>0</v>
      </c>
      <c r="AB25" s="183">
        <v>0</v>
      </c>
      <c r="AC25" s="183">
        <v>0</v>
      </c>
      <c r="AD25" s="183">
        <v>0</v>
      </c>
      <c r="AE25" s="183">
        <v>0</v>
      </c>
      <c r="AF25" s="183">
        <v>0</v>
      </c>
      <c r="AG25" s="183">
        <v>0</v>
      </c>
      <c r="AH25" s="183">
        <v>0</v>
      </c>
      <c r="AI25" s="183">
        <v>0</v>
      </c>
      <c r="AJ25" s="183">
        <v>0</v>
      </c>
      <c r="AK25" s="183">
        <v>0</v>
      </c>
      <c r="AL25" s="183">
        <v>0</v>
      </c>
      <c r="AM25" s="183">
        <v>0</v>
      </c>
      <c r="AN25" s="183">
        <v>0</v>
      </c>
      <c r="AO25" s="183">
        <v>0</v>
      </c>
      <c r="AP25" s="183">
        <v>0</v>
      </c>
      <c r="AQ25" s="183">
        <v>0</v>
      </c>
      <c r="AR25" s="183">
        <v>0</v>
      </c>
      <c r="AS25" s="183">
        <v>0</v>
      </c>
      <c r="AT25" s="183">
        <v>0</v>
      </c>
      <c r="AU25" s="183">
        <v>0</v>
      </c>
      <c r="AV25" s="183">
        <v>0</v>
      </c>
      <c r="AW25" s="183">
        <v>0</v>
      </c>
      <c r="AX25" s="183">
        <v>0</v>
      </c>
      <c r="AY25" s="183">
        <v>0</v>
      </c>
      <c r="AZ25" s="183">
        <v>0</v>
      </c>
      <c r="BA25" s="183">
        <v>0</v>
      </c>
      <c r="BB25" s="183">
        <v>0</v>
      </c>
    </row>
    <row r="26" spans="1:54" x14ac:dyDescent="0.2">
      <c r="C26" t="s">
        <v>186</v>
      </c>
      <c r="D26" s="183">
        <v>4.76</v>
      </c>
      <c r="E26" s="189">
        <v>7</v>
      </c>
      <c r="F26">
        <v>4</v>
      </c>
      <c r="G26">
        <v>6</v>
      </c>
      <c r="H26">
        <v>5</v>
      </c>
      <c r="I26">
        <v>7</v>
      </c>
      <c r="J26">
        <v>4</v>
      </c>
      <c r="K26">
        <v>4</v>
      </c>
      <c r="L26">
        <v>8</v>
      </c>
      <c r="M26">
        <v>4</v>
      </c>
      <c r="N26">
        <v>4</v>
      </c>
      <c r="O26">
        <v>2</v>
      </c>
      <c r="P26">
        <v>5</v>
      </c>
      <c r="Q26">
        <v>1</v>
      </c>
      <c r="R26">
        <v>2</v>
      </c>
      <c r="S26">
        <v>4</v>
      </c>
      <c r="T26">
        <v>5</v>
      </c>
      <c r="U26">
        <v>6</v>
      </c>
      <c r="V26">
        <v>7</v>
      </c>
      <c r="W26">
        <v>3</v>
      </c>
      <c r="X26">
        <v>7</v>
      </c>
      <c r="Y26">
        <v>5</v>
      </c>
      <c r="Z26">
        <v>5</v>
      </c>
      <c r="AA26">
        <v>7</v>
      </c>
      <c r="AB26">
        <v>2</v>
      </c>
      <c r="AC26">
        <v>8</v>
      </c>
      <c r="AD26">
        <v>3</v>
      </c>
      <c r="AE26">
        <v>8</v>
      </c>
      <c r="AF26">
        <v>3</v>
      </c>
      <c r="AG26">
        <v>5</v>
      </c>
      <c r="AH26">
        <v>2</v>
      </c>
      <c r="AI26">
        <v>5</v>
      </c>
      <c r="AJ26">
        <v>5</v>
      </c>
      <c r="AK26">
        <v>2</v>
      </c>
      <c r="AL26">
        <v>2</v>
      </c>
      <c r="AM26">
        <v>6</v>
      </c>
      <c r="AN26">
        <v>9</v>
      </c>
      <c r="AO26">
        <v>3</v>
      </c>
      <c r="AP26">
        <v>3</v>
      </c>
      <c r="AQ26">
        <v>6</v>
      </c>
      <c r="AR26">
        <v>8</v>
      </c>
      <c r="AS26">
        <v>6</v>
      </c>
      <c r="AT26">
        <v>3</v>
      </c>
      <c r="AU26">
        <v>4</v>
      </c>
      <c r="AV26">
        <v>2</v>
      </c>
      <c r="AW26">
        <v>5</v>
      </c>
      <c r="AX26">
        <v>2</v>
      </c>
      <c r="AY26">
        <v>5</v>
      </c>
      <c r="AZ26">
        <v>7</v>
      </c>
      <c r="BA26">
        <v>7</v>
      </c>
      <c r="BB26">
        <v>5</v>
      </c>
    </row>
    <row r="27" spans="1:54" x14ac:dyDescent="0.2">
      <c r="C27" t="s">
        <v>187</v>
      </c>
      <c r="D27" s="183">
        <v>5.541629743393825E-2</v>
      </c>
      <c r="E27" s="190">
        <v>0.10054921420138899</v>
      </c>
      <c r="F27" s="183">
        <v>3.1762402789953285E-2</v>
      </c>
      <c r="G27" s="183">
        <v>1.6430624230199017E-2</v>
      </c>
      <c r="H27" s="183">
        <v>0.15139373593238653</v>
      </c>
      <c r="I27" s="183">
        <v>0.11729662757290087</v>
      </c>
      <c r="J27" s="183">
        <v>3.2788820133462272E-2</v>
      </c>
      <c r="K27" s="183">
        <v>6.1829800086271119E-2</v>
      </c>
      <c r="L27" s="183">
        <v>9.3262360709833195E-2</v>
      </c>
      <c r="M27" s="183">
        <v>5.0398403807106675E-2</v>
      </c>
      <c r="N27" s="183">
        <v>5.5933415085492759E-2</v>
      </c>
      <c r="O27" s="183">
        <v>7.0852187256905397E-2</v>
      </c>
      <c r="P27" s="183">
        <v>0.10769945019846765</v>
      </c>
      <c r="Q27" s="183">
        <v>1.6298650472846073E-2</v>
      </c>
      <c r="R27" s="183">
        <v>6.4287023359294759E-2</v>
      </c>
      <c r="S27" s="183">
        <v>2.7862253437991955E-2</v>
      </c>
      <c r="T27" s="183">
        <v>6.1298898505267638E-2</v>
      </c>
      <c r="U27" s="183">
        <v>5.8697052341012183E-2</v>
      </c>
      <c r="V27" s="183">
        <v>8.7057606554866301E-2</v>
      </c>
      <c r="W27" s="183">
        <v>1.3774600018885053E-2</v>
      </c>
      <c r="X27" s="183">
        <v>4.2524899558163028E-2</v>
      </c>
      <c r="Y27" s="183">
        <v>3.4725789340124276E-2</v>
      </c>
      <c r="Z27" s="183">
        <v>6.8655023948954536E-2</v>
      </c>
      <c r="AA27" s="183">
        <v>7.3822632658683648E-2</v>
      </c>
      <c r="AB27" s="183">
        <v>5.260470451696894E-3</v>
      </c>
      <c r="AC27" s="183">
        <v>7.3334126298048058E-2</v>
      </c>
      <c r="AD27" s="183">
        <v>1.4896344775451169E-2</v>
      </c>
      <c r="AE27" s="183">
        <v>0.10234397932833926</v>
      </c>
      <c r="AF27" s="183">
        <v>1.2536400575063686E-2</v>
      </c>
      <c r="AG27" s="183">
        <v>7.810274600290977E-2</v>
      </c>
      <c r="AH27" s="183">
        <v>9.0604275571798554E-3</v>
      </c>
      <c r="AI27" s="183">
        <v>2.502529140583391E-2</v>
      </c>
      <c r="AJ27" s="183">
        <v>6.8128999578309285E-2</v>
      </c>
      <c r="AK27" s="183">
        <v>4.1886917162636435E-2</v>
      </c>
      <c r="AL27" s="183">
        <v>4.1541853238741102E-3</v>
      </c>
      <c r="AM27" s="183">
        <v>8.5146583566237097E-2</v>
      </c>
      <c r="AN27" s="183">
        <v>0.10482883008560563</v>
      </c>
      <c r="AO27" s="183">
        <v>2.9942202960345624E-2</v>
      </c>
      <c r="AP27" s="183">
        <v>4.5505702832582574E-2</v>
      </c>
      <c r="AQ27" s="183">
        <v>3.6061017684460274E-2</v>
      </c>
      <c r="AR27" s="183">
        <v>0.16793028255544595</v>
      </c>
      <c r="AS27" s="183">
        <v>6.1567060356946882E-2</v>
      </c>
      <c r="AT27" s="183">
        <v>4.8895647974864197E-2</v>
      </c>
      <c r="AU27" s="183">
        <v>3.4404818772015441E-2</v>
      </c>
      <c r="AV27" s="183">
        <v>1.5930275432717099E-2</v>
      </c>
      <c r="AW27" s="183">
        <v>4.9354506581448084E-2</v>
      </c>
      <c r="AX27" s="183">
        <v>1.7058411825486307E-2</v>
      </c>
      <c r="AY27" s="183">
        <v>7.2126781448083724E-2</v>
      </c>
      <c r="AZ27" s="183">
        <v>3.1510026347492753E-2</v>
      </c>
      <c r="BA27" s="183">
        <v>5.1614315177100134E-2</v>
      </c>
      <c r="BB27" s="183">
        <v>4.5007047436281603E-2</v>
      </c>
    </row>
    <row r="28" spans="1:54" x14ac:dyDescent="0.2">
      <c r="C28" t="s">
        <v>188</v>
      </c>
      <c r="D28" s="183">
        <v>0</v>
      </c>
      <c r="E28" s="190">
        <v>0</v>
      </c>
      <c r="F28" s="183">
        <v>0</v>
      </c>
      <c r="G28" s="183">
        <v>0</v>
      </c>
      <c r="H28" s="183">
        <v>0</v>
      </c>
      <c r="I28" s="183">
        <v>0</v>
      </c>
      <c r="J28" s="183">
        <v>0</v>
      </c>
      <c r="K28" s="183">
        <v>0</v>
      </c>
      <c r="L28" s="183">
        <v>0</v>
      </c>
      <c r="M28" s="183">
        <v>0</v>
      </c>
      <c r="N28" s="183">
        <v>0</v>
      </c>
      <c r="O28" s="183">
        <v>0</v>
      </c>
      <c r="P28" s="183">
        <v>0</v>
      </c>
      <c r="Q28" s="183">
        <v>0</v>
      </c>
      <c r="R28" s="183">
        <v>0</v>
      </c>
      <c r="S28" s="183">
        <v>0</v>
      </c>
      <c r="T28" s="183">
        <v>0</v>
      </c>
      <c r="U28" s="183">
        <v>0</v>
      </c>
      <c r="V28" s="183">
        <v>0</v>
      </c>
      <c r="W28" s="183">
        <v>0</v>
      </c>
      <c r="X28" s="183">
        <v>0</v>
      </c>
      <c r="Y28" s="183">
        <v>0</v>
      </c>
      <c r="Z28" s="183">
        <v>0</v>
      </c>
      <c r="AA28" s="183">
        <v>0</v>
      </c>
      <c r="AB28" s="183">
        <v>0</v>
      </c>
      <c r="AC28" s="183">
        <v>0</v>
      </c>
      <c r="AD28" s="183">
        <v>0</v>
      </c>
      <c r="AE28" s="183">
        <v>0</v>
      </c>
      <c r="AF28" s="183">
        <v>0</v>
      </c>
      <c r="AG28" s="183">
        <v>0</v>
      </c>
      <c r="AH28" s="183">
        <v>0</v>
      </c>
      <c r="AI28" s="183">
        <v>0</v>
      </c>
      <c r="AJ28" s="183">
        <v>0</v>
      </c>
      <c r="AK28" s="183">
        <v>0</v>
      </c>
      <c r="AL28" s="183">
        <v>0</v>
      </c>
      <c r="AM28" s="183">
        <v>0</v>
      </c>
      <c r="AN28" s="183">
        <v>0</v>
      </c>
      <c r="AO28" s="183">
        <v>0</v>
      </c>
      <c r="AP28" s="183">
        <v>0</v>
      </c>
      <c r="AQ28" s="183">
        <v>0</v>
      </c>
      <c r="AR28" s="183">
        <v>0</v>
      </c>
      <c r="AS28" s="183">
        <v>0</v>
      </c>
      <c r="AT28" s="183">
        <v>0</v>
      </c>
      <c r="AU28" s="183">
        <v>0</v>
      </c>
      <c r="AV28" s="183">
        <v>0</v>
      </c>
      <c r="AW28" s="183">
        <v>0</v>
      </c>
      <c r="AX28" s="183">
        <v>0</v>
      </c>
      <c r="AY28" s="183">
        <v>0</v>
      </c>
      <c r="AZ28" s="183">
        <v>0</v>
      </c>
      <c r="BA28" s="183">
        <v>0</v>
      </c>
      <c r="BB28" s="183">
        <v>0</v>
      </c>
    </row>
    <row r="29" spans="1:54" x14ac:dyDescent="0.2">
      <c r="E29" s="189"/>
    </row>
    <row r="30" spans="1:54" x14ac:dyDescent="0.2">
      <c r="A30" t="s">
        <v>189</v>
      </c>
      <c r="B30" t="s">
        <v>171</v>
      </c>
      <c r="C30" t="s">
        <v>190</v>
      </c>
      <c r="D30" s="183">
        <v>95.62</v>
      </c>
      <c r="E30" s="189">
        <v>94</v>
      </c>
      <c r="F30">
        <v>93</v>
      </c>
      <c r="G30">
        <v>93</v>
      </c>
      <c r="H30">
        <v>96</v>
      </c>
      <c r="I30">
        <v>98</v>
      </c>
      <c r="J30">
        <v>99</v>
      </c>
      <c r="K30">
        <v>97</v>
      </c>
      <c r="L30">
        <v>96</v>
      </c>
      <c r="M30">
        <v>95</v>
      </c>
      <c r="N30">
        <v>95</v>
      </c>
      <c r="O30">
        <v>96</v>
      </c>
      <c r="P30">
        <v>95</v>
      </c>
      <c r="Q30">
        <v>95</v>
      </c>
      <c r="R30">
        <v>93</v>
      </c>
      <c r="S30">
        <v>93</v>
      </c>
      <c r="T30">
        <v>98</v>
      </c>
      <c r="U30">
        <v>93</v>
      </c>
      <c r="V30">
        <v>98</v>
      </c>
      <c r="W30">
        <v>93</v>
      </c>
      <c r="X30">
        <v>95</v>
      </c>
      <c r="Y30">
        <v>94</v>
      </c>
      <c r="Z30">
        <v>92</v>
      </c>
      <c r="AA30">
        <v>96</v>
      </c>
      <c r="AB30">
        <v>97</v>
      </c>
      <c r="AC30">
        <v>94</v>
      </c>
      <c r="AD30">
        <v>97</v>
      </c>
      <c r="AE30">
        <v>95</v>
      </c>
      <c r="AF30">
        <v>96</v>
      </c>
      <c r="AG30">
        <v>94</v>
      </c>
      <c r="AH30">
        <v>97</v>
      </c>
      <c r="AI30">
        <v>99</v>
      </c>
      <c r="AJ30">
        <v>94</v>
      </c>
      <c r="AK30">
        <v>97</v>
      </c>
      <c r="AL30">
        <v>96</v>
      </c>
      <c r="AM30">
        <v>95</v>
      </c>
      <c r="AN30">
        <v>100</v>
      </c>
      <c r="AO30">
        <v>99</v>
      </c>
      <c r="AP30">
        <v>94</v>
      </c>
      <c r="AQ30">
        <v>97</v>
      </c>
      <c r="AR30">
        <v>98</v>
      </c>
      <c r="AS30">
        <v>97</v>
      </c>
      <c r="AT30">
        <v>96</v>
      </c>
      <c r="AU30">
        <v>94</v>
      </c>
      <c r="AV30">
        <v>93</v>
      </c>
      <c r="AW30">
        <v>95</v>
      </c>
      <c r="AX30">
        <v>97</v>
      </c>
      <c r="AY30">
        <v>98</v>
      </c>
      <c r="AZ30">
        <v>97</v>
      </c>
      <c r="BA30">
        <v>96</v>
      </c>
      <c r="BB30">
        <v>92</v>
      </c>
    </row>
    <row r="31" spans="1:54" x14ac:dyDescent="0.2">
      <c r="C31" t="s">
        <v>191</v>
      </c>
      <c r="D31" s="183">
        <v>104.38</v>
      </c>
      <c r="E31" s="189">
        <v>106</v>
      </c>
      <c r="F31">
        <v>107</v>
      </c>
      <c r="G31">
        <v>107</v>
      </c>
      <c r="H31">
        <v>104</v>
      </c>
      <c r="I31">
        <v>102</v>
      </c>
      <c r="J31">
        <v>101</v>
      </c>
      <c r="K31">
        <v>103</v>
      </c>
      <c r="L31">
        <v>104</v>
      </c>
      <c r="M31">
        <v>105</v>
      </c>
      <c r="N31">
        <v>105</v>
      </c>
      <c r="O31">
        <v>104</v>
      </c>
      <c r="P31">
        <v>105</v>
      </c>
      <c r="Q31">
        <v>105</v>
      </c>
      <c r="R31">
        <v>107</v>
      </c>
      <c r="S31">
        <v>107</v>
      </c>
      <c r="T31">
        <v>102</v>
      </c>
      <c r="U31">
        <v>107</v>
      </c>
      <c r="V31">
        <v>102</v>
      </c>
      <c r="W31">
        <v>107</v>
      </c>
      <c r="X31">
        <v>105</v>
      </c>
      <c r="Y31">
        <v>106</v>
      </c>
      <c r="Z31">
        <v>108</v>
      </c>
      <c r="AA31">
        <v>104</v>
      </c>
      <c r="AB31">
        <v>103</v>
      </c>
      <c r="AC31">
        <v>106</v>
      </c>
      <c r="AD31">
        <v>103</v>
      </c>
      <c r="AE31">
        <v>105</v>
      </c>
      <c r="AF31">
        <v>104</v>
      </c>
      <c r="AG31">
        <v>106</v>
      </c>
      <c r="AH31">
        <v>103</v>
      </c>
      <c r="AI31">
        <v>101</v>
      </c>
      <c r="AJ31">
        <v>106</v>
      </c>
      <c r="AK31">
        <v>103</v>
      </c>
      <c r="AL31">
        <v>104</v>
      </c>
      <c r="AM31">
        <v>105</v>
      </c>
      <c r="AN31">
        <v>100</v>
      </c>
      <c r="AO31">
        <v>101</v>
      </c>
      <c r="AP31">
        <v>106</v>
      </c>
      <c r="AQ31">
        <v>103</v>
      </c>
      <c r="AR31">
        <v>102</v>
      </c>
      <c r="AS31">
        <v>103</v>
      </c>
      <c r="AT31">
        <v>104</v>
      </c>
      <c r="AU31">
        <v>106</v>
      </c>
      <c r="AV31">
        <v>107</v>
      </c>
      <c r="AW31">
        <v>105</v>
      </c>
      <c r="AX31">
        <v>103</v>
      </c>
      <c r="AY31">
        <v>102</v>
      </c>
      <c r="AZ31">
        <v>103</v>
      </c>
      <c r="BA31">
        <v>104</v>
      </c>
      <c r="BB31">
        <v>108</v>
      </c>
    </row>
    <row r="32" spans="1:54" x14ac:dyDescent="0.2">
      <c r="C32" t="s">
        <v>192</v>
      </c>
      <c r="D32" s="183">
        <v>104.38</v>
      </c>
      <c r="E32" s="189">
        <v>106</v>
      </c>
      <c r="F32">
        <v>107</v>
      </c>
      <c r="G32">
        <v>107</v>
      </c>
      <c r="H32">
        <v>104</v>
      </c>
      <c r="I32">
        <v>102</v>
      </c>
      <c r="J32">
        <v>101</v>
      </c>
      <c r="K32">
        <v>103</v>
      </c>
      <c r="L32">
        <v>104</v>
      </c>
      <c r="M32">
        <v>105</v>
      </c>
      <c r="N32">
        <v>105</v>
      </c>
      <c r="O32">
        <v>104</v>
      </c>
      <c r="P32">
        <v>105</v>
      </c>
      <c r="Q32">
        <v>105</v>
      </c>
      <c r="R32">
        <v>107</v>
      </c>
      <c r="S32">
        <v>107</v>
      </c>
      <c r="T32">
        <v>102</v>
      </c>
      <c r="U32">
        <v>107</v>
      </c>
      <c r="V32">
        <v>102</v>
      </c>
      <c r="W32">
        <v>107</v>
      </c>
      <c r="X32">
        <v>105</v>
      </c>
      <c r="Y32">
        <v>106</v>
      </c>
      <c r="Z32">
        <v>108</v>
      </c>
      <c r="AA32">
        <v>104</v>
      </c>
      <c r="AB32">
        <v>103</v>
      </c>
      <c r="AC32">
        <v>106</v>
      </c>
      <c r="AD32">
        <v>103</v>
      </c>
      <c r="AE32">
        <v>105</v>
      </c>
      <c r="AF32">
        <v>104</v>
      </c>
      <c r="AG32">
        <v>106</v>
      </c>
      <c r="AH32">
        <v>103</v>
      </c>
      <c r="AI32">
        <v>101</v>
      </c>
      <c r="AJ32">
        <v>106</v>
      </c>
      <c r="AK32">
        <v>103</v>
      </c>
      <c r="AL32">
        <v>104</v>
      </c>
      <c r="AM32">
        <v>105</v>
      </c>
      <c r="AN32">
        <v>100</v>
      </c>
      <c r="AO32">
        <v>101</v>
      </c>
      <c r="AP32">
        <v>106</v>
      </c>
      <c r="AQ32">
        <v>103</v>
      </c>
      <c r="AR32">
        <v>102</v>
      </c>
      <c r="AS32">
        <v>103</v>
      </c>
      <c r="AT32">
        <v>104</v>
      </c>
      <c r="AU32">
        <v>106</v>
      </c>
      <c r="AV32">
        <v>107</v>
      </c>
      <c r="AW32">
        <v>105</v>
      </c>
      <c r="AX32">
        <v>103</v>
      </c>
      <c r="AY32">
        <v>102</v>
      </c>
      <c r="AZ32">
        <v>103</v>
      </c>
      <c r="BA32">
        <v>104</v>
      </c>
      <c r="BB32">
        <v>108</v>
      </c>
    </row>
    <row r="33" spans="2:54" x14ac:dyDescent="0.2">
      <c r="C33" t="s">
        <v>193</v>
      </c>
      <c r="D33" s="183">
        <v>200</v>
      </c>
      <c r="E33" s="189">
        <v>200</v>
      </c>
      <c r="F33">
        <v>200</v>
      </c>
      <c r="G33">
        <v>200</v>
      </c>
      <c r="H33">
        <v>200</v>
      </c>
      <c r="I33">
        <v>200</v>
      </c>
      <c r="J33">
        <v>200</v>
      </c>
      <c r="K33">
        <v>200</v>
      </c>
      <c r="L33">
        <v>200</v>
      </c>
      <c r="M33">
        <v>200</v>
      </c>
      <c r="N33">
        <v>200</v>
      </c>
      <c r="O33">
        <v>200</v>
      </c>
      <c r="P33">
        <v>200</v>
      </c>
      <c r="Q33">
        <v>200</v>
      </c>
      <c r="R33">
        <v>200</v>
      </c>
      <c r="S33">
        <v>200</v>
      </c>
      <c r="T33">
        <v>200</v>
      </c>
      <c r="U33">
        <v>200</v>
      </c>
      <c r="V33">
        <v>200</v>
      </c>
      <c r="W33">
        <v>200</v>
      </c>
      <c r="X33">
        <v>200</v>
      </c>
      <c r="Y33">
        <v>200</v>
      </c>
      <c r="Z33">
        <v>200</v>
      </c>
      <c r="AA33">
        <v>200</v>
      </c>
      <c r="AB33">
        <v>200</v>
      </c>
      <c r="AC33">
        <v>200</v>
      </c>
      <c r="AD33">
        <v>200</v>
      </c>
      <c r="AE33">
        <v>200</v>
      </c>
      <c r="AF33">
        <v>200</v>
      </c>
      <c r="AG33">
        <v>200</v>
      </c>
      <c r="AH33">
        <v>200</v>
      </c>
      <c r="AI33">
        <v>200</v>
      </c>
      <c r="AJ33">
        <v>200</v>
      </c>
      <c r="AK33">
        <v>200</v>
      </c>
      <c r="AL33">
        <v>200</v>
      </c>
      <c r="AM33">
        <v>200</v>
      </c>
      <c r="AN33">
        <v>200</v>
      </c>
      <c r="AO33">
        <v>200</v>
      </c>
      <c r="AP33">
        <v>200</v>
      </c>
      <c r="AQ33">
        <v>200</v>
      </c>
      <c r="AR33">
        <v>200</v>
      </c>
      <c r="AS33">
        <v>200</v>
      </c>
      <c r="AT33">
        <v>200</v>
      </c>
      <c r="AU33">
        <v>200</v>
      </c>
      <c r="AV33">
        <v>200</v>
      </c>
      <c r="AW33">
        <v>200</v>
      </c>
      <c r="AX33">
        <v>200</v>
      </c>
      <c r="AY33">
        <v>200</v>
      </c>
      <c r="AZ33">
        <v>200</v>
      </c>
      <c r="BA33">
        <v>200</v>
      </c>
      <c r="BB33">
        <v>200</v>
      </c>
    </row>
    <row r="34" spans="2:54" x14ac:dyDescent="0.2">
      <c r="C34" t="s">
        <v>194</v>
      </c>
      <c r="D34" s="183">
        <v>151.81039565106457</v>
      </c>
      <c r="E34" s="190">
        <v>152.10017063630693</v>
      </c>
      <c r="F34" s="183">
        <v>153.77671335231062</v>
      </c>
      <c r="G34" s="183">
        <v>153.27626075079382</v>
      </c>
      <c r="H34" s="183">
        <v>152.03160407813661</v>
      </c>
      <c r="I34" s="183">
        <v>151.53431335179877</v>
      </c>
      <c r="J34" s="183">
        <v>150.37221945108149</v>
      </c>
      <c r="K34" s="183">
        <v>150.41854890575379</v>
      </c>
      <c r="L34" s="183">
        <v>151.54602955841167</v>
      </c>
      <c r="M34" s="183">
        <v>151.85329171214542</v>
      </c>
      <c r="N34" s="183">
        <v>152.04744988831342</v>
      </c>
      <c r="O34" s="183">
        <v>152.2521337045072</v>
      </c>
      <c r="P34" s="183">
        <v>150.75479932914655</v>
      </c>
      <c r="Q34" s="183">
        <v>152.79804237075783</v>
      </c>
      <c r="R34" s="183">
        <v>152.77219448299209</v>
      </c>
      <c r="S34" s="183">
        <v>152.85624101956506</v>
      </c>
      <c r="T34" s="183">
        <v>150.64217233058983</v>
      </c>
      <c r="U34" s="183">
        <v>153.29332426775196</v>
      </c>
      <c r="V34" s="183">
        <v>150.11198592916193</v>
      </c>
      <c r="W34" s="183">
        <v>153.96957288896795</v>
      </c>
      <c r="X34" s="183">
        <v>152.43595930476855</v>
      </c>
      <c r="Y34" s="183">
        <v>153.49875348439758</v>
      </c>
      <c r="Z34" s="183">
        <v>154.05821994146422</v>
      </c>
      <c r="AA34" s="183">
        <v>151.26486666949637</v>
      </c>
      <c r="AB34" s="183">
        <v>150.01490313713776</v>
      </c>
      <c r="AC34" s="183">
        <v>153.42315093257093</v>
      </c>
      <c r="AD34" s="183">
        <v>151.70737105923297</v>
      </c>
      <c r="AE34" s="183">
        <v>151.87205009544874</v>
      </c>
      <c r="AF34" s="183">
        <v>151.24816230812476</v>
      </c>
      <c r="AG34" s="183">
        <v>151.87543044583515</v>
      </c>
      <c r="AH34" s="183">
        <v>150.7717236759473</v>
      </c>
      <c r="AI34" s="183">
        <v>150.49305901952403</v>
      </c>
      <c r="AJ34" s="183">
        <v>152.00071795232796</v>
      </c>
      <c r="AK34" s="183">
        <v>151.93685699409667</v>
      </c>
      <c r="AL34" s="183">
        <v>151.14905616900415</v>
      </c>
      <c r="AM34" s="183">
        <v>152.10824257416306</v>
      </c>
      <c r="AN34" s="183">
        <v>150.31459007984526</v>
      </c>
      <c r="AO34" s="183">
        <v>150.28947502924882</v>
      </c>
      <c r="AP34" s="183">
        <v>152.61765316852998</v>
      </c>
      <c r="AQ34" s="183">
        <v>151.22199456517197</v>
      </c>
      <c r="AR34" s="183">
        <v>150.4139848078797</v>
      </c>
      <c r="AS34" s="183">
        <v>151.04052226631038</v>
      </c>
      <c r="AT34" s="183">
        <v>151.32639618454175</v>
      </c>
      <c r="AU34" s="183">
        <v>152.31764902003906</v>
      </c>
      <c r="AV34" s="183">
        <v>152.79868277032313</v>
      </c>
      <c r="AW34" s="183">
        <v>152.88291151565861</v>
      </c>
      <c r="AX34" s="183">
        <v>150.08962616270429</v>
      </c>
      <c r="AY34" s="183">
        <v>150.46634454098304</v>
      </c>
      <c r="AZ34" s="183">
        <v>151.10361787336737</v>
      </c>
      <c r="BA34" s="183">
        <v>151.6988096822902</v>
      </c>
      <c r="BB34" s="183">
        <v>153.67193311429986</v>
      </c>
    </row>
    <row r="35" spans="2:54" x14ac:dyDescent="0.2">
      <c r="C35" t="s">
        <v>195</v>
      </c>
      <c r="D35" s="183">
        <v>762.49738752354665</v>
      </c>
      <c r="E35" s="190">
        <v>776.68172239816306</v>
      </c>
      <c r="F35" s="183">
        <v>793.6862624635387</v>
      </c>
      <c r="G35" s="183">
        <v>791.10328129441973</v>
      </c>
      <c r="H35" s="183">
        <v>760.15802039068296</v>
      </c>
      <c r="I35" s="183">
        <v>742.20888172309606</v>
      </c>
      <c r="J35" s="183">
        <v>729.07742764160719</v>
      </c>
      <c r="K35" s="183">
        <v>744.3392110800188</v>
      </c>
      <c r="L35" s="183">
        <v>757.73014779205835</v>
      </c>
      <c r="M35" s="183">
        <v>767.2587370718926</v>
      </c>
      <c r="N35" s="183">
        <v>768.23974680410981</v>
      </c>
      <c r="O35" s="183">
        <v>761.26066852253598</v>
      </c>
      <c r="P35" s="183">
        <v>761.70845976831947</v>
      </c>
      <c r="Q35" s="183">
        <v>772.0322140838291</v>
      </c>
      <c r="R35" s="183">
        <v>788.50164894447528</v>
      </c>
      <c r="S35" s="183">
        <v>788.93543752033577</v>
      </c>
      <c r="T35" s="183">
        <v>737.83921141513383</v>
      </c>
      <c r="U35" s="183">
        <v>791.19135105936493</v>
      </c>
      <c r="V35" s="183">
        <v>735.24238006120129</v>
      </c>
      <c r="W35" s="183">
        <v>794.68166652370553</v>
      </c>
      <c r="X35" s="183">
        <v>770.20274175040959</v>
      </c>
      <c r="Y35" s="183">
        <v>783.82342204798761</v>
      </c>
      <c r="Z35" s="183">
        <v>803.78201708590018</v>
      </c>
      <c r="AA35" s="183">
        <v>756.32433334748191</v>
      </c>
      <c r="AB35" s="183">
        <v>742.34178871985694</v>
      </c>
      <c r="AC35" s="183">
        <v>783.437366464192</v>
      </c>
      <c r="AD35" s="183">
        <v>750.71688771579193</v>
      </c>
      <c r="AE35" s="183">
        <v>767.353516271741</v>
      </c>
      <c r="AF35" s="183">
        <v>756.24081154062378</v>
      </c>
      <c r="AG35" s="183">
        <v>775.53411291490283</v>
      </c>
      <c r="AH35" s="183">
        <v>746.08688004592477</v>
      </c>
      <c r="AI35" s="183">
        <v>729.66331645829825</v>
      </c>
      <c r="AJ35" s="183">
        <v>776.17387890550447</v>
      </c>
      <c r="AK35" s="183">
        <v>751.8524882182104</v>
      </c>
      <c r="AL35" s="183">
        <v>755.74528084502072</v>
      </c>
      <c r="AM35" s="183">
        <v>768.54690984840283</v>
      </c>
      <c r="AN35" s="183">
        <v>721.51003238325723</v>
      </c>
      <c r="AO35" s="183">
        <v>728.67624256605484</v>
      </c>
      <c r="AP35" s="183">
        <v>779.32418639249352</v>
      </c>
      <c r="AQ35" s="183">
        <v>748.31502465239737</v>
      </c>
      <c r="AR35" s="183">
        <v>736.721558242676</v>
      </c>
      <c r="AS35" s="183">
        <v>747.41701740029885</v>
      </c>
      <c r="AT35" s="183">
        <v>756.63198092270875</v>
      </c>
      <c r="AU35" s="183">
        <v>777.79225031509304</v>
      </c>
      <c r="AV35" s="183">
        <v>788.63836268553871</v>
      </c>
      <c r="AW35" s="183">
        <v>772.46102660543295</v>
      </c>
      <c r="AX35" s="183">
        <v>742.71155214534076</v>
      </c>
      <c r="AY35" s="183">
        <v>736.97801407828433</v>
      </c>
      <c r="AZ35" s="183">
        <v>747.72924308470442</v>
      </c>
      <c r="BA35" s="183">
        <v>758.49404841145099</v>
      </c>
      <c r="BB35" s="183">
        <v>801.76660755286878</v>
      </c>
    </row>
    <row r="36" spans="2:54" x14ac:dyDescent="0.2">
      <c r="E36" s="189"/>
    </row>
    <row r="37" spans="2:54" x14ac:dyDescent="0.2">
      <c r="B37" t="s">
        <v>173</v>
      </c>
      <c r="C37" t="s">
        <v>190</v>
      </c>
      <c r="D37" s="183">
        <v>0</v>
      </c>
      <c r="E37" s="189">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row>
    <row r="38" spans="2:54" x14ac:dyDescent="0.2">
      <c r="C38" t="s">
        <v>191</v>
      </c>
      <c r="D38" s="183">
        <v>89.3</v>
      </c>
      <c r="E38" s="189">
        <v>86</v>
      </c>
      <c r="F38">
        <v>87</v>
      </c>
      <c r="G38">
        <v>85</v>
      </c>
      <c r="H38">
        <v>89</v>
      </c>
      <c r="I38">
        <v>89</v>
      </c>
      <c r="J38">
        <v>93</v>
      </c>
      <c r="K38">
        <v>91</v>
      </c>
      <c r="L38">
        <v>86</v>
      </c>
      <c r="M38">
        <v>89</v>
      </c>
      <c r="N38">
        <v>90</v>
      </c>
      <c r="O38">
        <v>92</v>
      </c>
      <c r="P38">
        <v>89</v>
      </c>
      <c r="Q38">
        <v>92</v>
      </c>
      <c r="R38">
        <v>90</v>
      </c>
      <c r="S38">
        <v>87</v>
      </c>
      <c r="T38">
        <v>92</v>
      </c>
      <c r="U38">
        <v>86</v>
      </c>
      <c r="V38">
        <v>90</v>
      </c>
      <c r="W38">
        <v>88</v>
      </c>
      <c r="X38">
        <v>87</v>
      </c>
      <c r="Y38">
        <v>88</v>
      </c>
      <c r="Z38">
        <v>85</v>
      </c>
      <c r="AA38">
        <v>87</v>
      </c>
      <c r="AB38">
        <v>93</v>
      </c>
      <c r="AC38">
        <v>85</v>
      </c>
      <c r="AD38">
        <v>93</v>
      </c>
      <c r="AE38">
        <v>85</v>
      </c>
      <c r="AF38">
        <v>91</v>
      </c>
      <c r="AG38">
        <v>88</v>
      </c>
      <c r="AH38">
        <v>93</v>
      </c>
      <c r="AI38">
        <v>92</v>
      </c>
      <c r="AJ38">
        <v>87</v>
      </c>
      <c r="AK38">
        <v>93</v>
      </c>
      <c r="AL38">
        <v>93</v>
      </c>
      <c r="AM38">
        <v>88</v>
      </c>
      <c r="AN38">
        <v>89</v>
      </c>
      <c r="AO38">
        <v>94</v>
      </c>
      <c r="AP38">
        <v>90</v>
      </c>
      <c r="AQ38">
        <v>90</v>
      </c>
      <c r="AR38">
        <v>88</v>
      </c>
      <c r="AS38">
        <v>90</v>
      </c>
      <c r="AT38">
        <v>91</v>
      </c>
      <c r="AU38">
        <v>88</v>
      </c>
      <c r="AV38">
        <v>90</v>
      </c>
      <c r="AW38">
        <v>89</v>
      </c>
      <c r="AX38">
        <v>94</v>
      </c>
      <c r="AY38">
        <v>92</v>
      </c>
      <c r="AZ38">
        <v>88</v>
      </c>
      <c r="BA38">
        <v>87</v>
      </c>
      <c r="BB38">
        <v>86</v>
      </c>
    </row>
    <row r="39" spans="2:54" x14ac:dyDescent="0.2">
      <c r="C39" t="s">
        <v>192</v>
      </c>
      <c r="D39" s="183">
        <v>0</v>
      </c>
      <c r="E39" s="18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row>
    <row r="40" spans="2:54" x14ac:dyDescent="0.2">
      <c r="C40" t="s">
        <v>193</v>
      </c>
      <c r="D40" s="183">
        <v>89.3</v>
      </c>
      <c r="E40" s="189">
        <v>86</v>
      </c>
      <c r="F40">
        <v>87</v>
      </c>
      <c r="G40">
        <v>85</v>
      </c>
      <c r="H40">
        <v>89</v>
      </c>
      <c r="I40">
        <v>89</v>
      </c>
      <c r="J40">
        <v>93</v>
      </c>
      <c r="K40">
        <v>91</v>
      </c>
      <c r="L40">
        <v>86</v>
      </c>
      <c r="M40">
        <v>89</v>
      </c>
      <c r="N40">
        <v>90</v>
      </c>
      <c r="O40">
        <v>92</v>
      </c>
      <c r="P40">
        <v>89</v>
      </c>
      <c r="Q40">
        <v>92</v>
      </c>
      <c r="R40">
        <v>90</v>
      </c>
      <c r="S40">
        <v>87</v>
      </c>
      <c r="T40">
        <v>92</v>
      </c>
      <c r="U40">
        <v>86</v>
      </c>
      <c r="V40">
        <v>90</v>
      </c>
      <c r="W40">
        <v>88</v>
      </c>
      <c r="X40">
        <v>87</v>
      </c>
      <c r="Y40">
        <v>88</v>
      </c>
      <c r="Z40">
        <v>85</v>
      </c>
      <c r="AA40">
        <v>87</v>
      </c>
      <c r="AB40">
        <v>93</v>
      </c>
      <c r="AC40">
        <v>85</v>
      </c>
      <c r="AD40">
        <v>93</v>
      </c>
      <c r="AE40">
        <v>85</v>
      </c>
      <c r="AF40">
        <v>91</v>
      </c>
      <c r="AG40">
        <v>88</v>
      </c>
      <c r="AH40">
        <v>93</v>
      </c>
      <c r="AI40">
        <v>92</v>
      </c>
      <c r="AJ40">
        <v>87</v>
      </c>
      <c r="AK40">
        <v>93</v>
      </c>
      <c r="AL40">
        <v>93</v>
      </c>
      <c r="AM40">
        <v>88</v>
      </c>
      <c r="AN40">
        <v>89</v>
      </c>
      <c r="AO40">
        <v>94</v>
      </c>
      <c r="AP40">
        <v>90</v>
      </c>
      <c r="AQ40">
        <v>90</v>
      </c>
      <c r="AR40">
        <v>88</v>
      </c>
      <c r="AS40">
        <v>90</v>
      </c>
      <c r="AT40">
        <v>91</v>
      </c>
      <c r="AU40">
        <v>88</v>
      </c>
      <c r="AV40">
        <v>90</v>
      </c>
      <c r="AW40">
        <v>89</v>
      </c>
      <c r="AX40">
        <v>94</v>
      </c>
      <c r="AY40">
        <v>92</v>
      </c>
      <c r="AZ40">
        <v>88</v>
      </c>
      <c r="BA40">
        <v>87</v>
      </c>
      <c r="BB40">
        <v>86</v>
      </c>
    </row>
    <row r="41" spans="2:54" x14ac:dyDescent="0.2">
      <c r="C41" t="s">
        <v>194</v>
      </c>
      <c r="D41" s="183">
        <v>44.162303052932359</v>
      </c>
      <c r="E41" s="190">
        <v>42.718709164450495</v>
      </c>
      <c r="F41" s="183">
        <v>42.8446747045599</v>
      </c>
      <c r="G41" s="183">
        <v>40.924213379938557</v>
      </c>
      <c r="H41" s="183">
        <v>44.071171679642063</v>
      </c>
      <c r="I41" s="183">
        <v>42.513513181062827</v>
      </c>
      <c r="J41" s="183">
        <v>46.225900677825948</v>
      </c>
      <c r="K41" s="183">
        <v>45.593937251221099</v>
      </c>
      <c r="L41" s="183">
        <v>42.641028890250048</v>
      </c>
      <c r="M41" s="183">
        <v>44.154821304177062</v>
      </c>
      <c r="N41" s="183">
        <v>44.682063647524089</v>
      </c>
      <c r="O41" s="183">
        <v>44.493326701145797</v>
      </c>
      <c r="P41" s="183">
        <v>45.026876359784637</v>
      </c>
      <c r="Q41" s="183">
        <v>45.032247743356237</v>
      </c>
      <c r="R41" s="183">
        <v>44.761711499351186</v>
      </c>
      <c r="S41" s="183">
        <v>43.335553652312079</v>
      </c>
      <c r="T41" s="183">
        <v>45.052641563841874</v>
      </c>
      <c r="U41" s="183">
        <v>43.408268928679291</v>
      </c>
      <c r="V41" s="183">
        <v>44.835368464966223</v>
      </c>
      <c r="W41" s="183">
        <v>42.712508284504338</v>
      </c>
      <c r="X41" s="183">
        <v>42.318266814754551</v>
      </c>
      <c r="Y41" s="183">
        <v>41.712105422286449</v>
      </c>
      <c r="Z41" s="183">
        <v>41.9656294591895</v>
      </c>
      <c r="AA41" s="183">
        <v>43.245399596224246</v>
      </c>
      <c r="AB41" s="183">
        <v>47.81591321096608</v>
      </c>
      <c r="AC41" s="183">
        <v>41.167328761592366</v>
      </c>
      <c r="AD41" s="183">
        <v>44.946157030903059</v>
      </c>
      <c r="AE41" s="183">
        <v>41.674759732713824</v>
      </c>
      <c r="AF41" s="183">
        <v>45.405385235634682</v>
      </c>
      <c r="AG41" s="183">
        <v>42.639906947943082</v>
      </c>
      <c r="AH41" s="183">
        <v>47.517551526442666</v>
      </c>
      <c r="AI41" s="183">
        <v>44.48700652967586</v>
      </c>
      <c r="AJ41" s="183">
        <v>42.955241239590286</v>
      </c>
      <c r="AK41" s="183">
        <v>45.870617592184267</v>
      </c>
      <c r="AL41" s="183">
        <v>45.385609533539295</v>
      </c>
      <c r="AM41" s="183">
        <v>42.335538755396264</v>
      </c>
      <c r="AN41" s="183">
        <v>44.150201976349308</v>
      </c>
      <c r="AO41" s="183">
        <v>46.289011561314219</v>
      </c>
      <c r="AP41" s="183">
        <v>45.528235782679715</v>
      </c>
      <c r="AQ41" s="183">
        <v>45.398746785540041</v>
      </c>
      <c r="AR41" s="183">
        <v>44.510553703255944</v>
      </c>
      <c r="AS41" s="183">
        <v>43.737615958691862</v>
      </c>
      <c r="AT41" s="183">
        <v>45.738395474926541</v>
      </c>
      <c r="AU41" s="183">
        <v>43.732335307594809</v>
      </c>
      <c r="AV41" s="183">
        <v>44.793009033357428</v>
      </c>
      <c r="AW41" s="183">
        <v>43.619917671593882</v>
      </c>
      <c r="AX41" s="183">
        <v>47.665665719472919</v>
      </c>
      <c r="AY41" s="183">
        <v>45.620861034757382</v>
      </c>
      <c r="AZ41" s="183">
        <v>43.705726477092831</v>
      </c>
      <c r="BA41" s="183">
        <v>43.546487429282948</v>
      </c>
      <c r="BB41" s="183">
        <v>43.607434263077025</v>
      </c>
    </row>
    <row r="42" spans="2:54" x14ac:dyDescent="0.2">
      <c r="C42" t="s">
        <v>195</v>
      </c>
      <c r="D42" s="194" t="s">
        <v>199</v>
      </c>
      <c r="E42" s="191" t="s">
        <v>199</v>
      </c>
      <c r="F42" s="187" t="s">
        <v>199</v>
      </c>
      <c r="G42" s="187" t="s">
        <v>199</v>
      </c>
      <c r="H42" s="187" t="s">
        <v>199</v>
      </c>
      <c r="I42" s="187" t="s">
        <v>199</v>
      </c>
      <c r="J42" s="187" t="s">
        <v>199</v>
      </c>
      <c r="K42" s="187" t="s">
        <v>199</v>
      </c>
      <c r="L42" s="187" t="s">
        <v>199</v>
      </c>
      <c r="M42" s="187" t="s">
        <v>199</v>
      </c>
      <c r="N42" s="187" t="s">
        <v>199</v>
      </c>
      <c r="O42" s="187" t="s">
        <v>199</v>
      </c>
      <c r="P42" s="187" t="s">
        <v>199</v>
      </c>
      <c r="Q42" s="187" t="s">
        <v>199</v>
      </c>
      <c r="R42" s="187" t="s">
        <v>199</v>
      </c>
      <c r="S42" s="187" t="s">
        <v>199</v>
      </c>
      <c r="T42" s="187" t="s">
        <v>199</v>
      </c>
      <c r="U42" s="187" t="s">
        <v>199</v>
      </c>
      <c r="V42" s="187" t="s">
        <v>199</v>
      </c>
      <c r="W42" s="187" t="s">
        <v>199</v>
      </c>
      <c r="X42" s="187" t="s">
        <v>199</v>
      </c>
      <c r="Y42" s="187" t="s">
        <v>199</v>
      </c>
      <c r="Z42" s="187" t="s">
        <v>199</v>
      </c>
      <c r="AA42" s="187" t="s">
        <v>199</v>
      </c>
      <c r="AB42" s="187" t="s">
        <v>199</v>
      </c>
      <c r="AC42" s="187" t="s">
        <v>199</v>
      </c>
      <c r="AD42" s="187" t="s">
        <v>199</v>
      </c>
      <c r="AE42" s="187" t="s">
        <v>199</v>
      </c>
      <c r="AF42" s="187" t="s">
        <v>199</v>
      </c>
      <c r="AG42" s="187" t="s">
        <v>199</v>
      </c>
      <c r="AH42" s="187" t="s">
        <v>199</v>
      </c>
      <c r="AI42" s="187" t="s">
        <v>199</v>
      </c>
      <c r="AJ42" s="187" t="s">
        <v>199</v>
      </c>
      <c r="AK42" s="187" t="s">
        <v>199</v>
      </c>
      <c r="AL42" s="187" t="s">
        <v>199</v>
      </c>
      <c r="AM42" s="187" t="s">
        <v>199</v>
      </c>
      <c r="AN42" s="187" t="s">
        <v>199</v>
      </c>
      <c r="AO42" s="187" t="s">
        <v>199</v>
      </c>
      <c r="AP42" s="187" t="s">
        <v>199</v>
      </c>
      <c r="AQ42" s="187" t="s">
        <v>199</v>
      </c>
      <c r="AR42" s="187" t="s">
        <v>199</v>
      </c>
      <c r="AS42" s="187" t="s">
        <v>199</v>
      </c>
      <c r="AT42" s="187" t="s">
        <v>199</v>
      </c>
      <c r="AU42" s="187" t="s">
        <v>199</v>
      </c>
      <c r="AV42" s="187" t="s">
        <v>199</v>
      </c>
      <c r="AW42" s="187" t="s">
        <v>199</v>
      </c>
      <c r="AX42" s="187" t="s">
        <v>199</v>
      </c>
      <c r="AY42" s="187" t="s">
        <v>199</v>
      </c>
      <c r="AZ42" s="187" t="s">
        <v>199</v>
      </c>
      <c r="BA42" s="187" t="s">
        <v>199</v>
      </c>
      <c r="BB42" s="187" t="s">
        <v>199</v>
      </c>
    </row>
    <row r="43" spans="2:54" x14ac:dyDescent="0.2">
      <c r="E43" s="189"/>
    </row>
    <row r="44" spans="2:54" x14ac:dyDescent="0.2">
      <c r="B44" t="s">
        <v>174</v>
      </c>
      <c r="C44" t="s">
        <v>190</v>
      </c>
      <c r="D44" s="183">
        <v>4.76</v>
      </c>
      <c r="E44" s="189">
        <v>7</v>
      </c>
      <c r="F44">
        <v>4</v>
      </c>
      <c r="G44">
        <v>6</v>
      </c>
      <c r="H44">
        <v>5</v>
      </c>
      <c r="I44">
        <v>7</v>
      </c>
      <c r="J44">
        <v>4</v>
      </c>
      <c r="K44">
        <v>4</v>
      </c>
      <c r="L44">
        <v>8</v>
      </c>
      <c r="M44">
        <v>4</v>
      </c>
      <c r="N44">
        <v>4</v>
      </c>
      <c r="O44">
        <v>2</v>
      </c>
      <c r="P44">
        <v>5</v>
      </c>
      <c r="Q44">
        <v>1</v>
      </c>
      <c r="R44">
        <v>2</v>
      </c>
      <c r="S44">
        <v>4</v>
      </c>
      <c r="T44">
        <v>5</v>
      </c>
      <c r="U44">
        <v>6</v>
      </c>
      <c r="V44">
        <v>7</v>
      </c>
      <c r="W44">
        <v>3</v>
      </c>
      <c r="X44">
        <v>7</v>
      </c>
      <c r="Y44">
        <v>5</v>
      </c>
      <c r="Z44">
        <v>5</v>
      </c>
      <c r="AA44">
        <v>7</v>
      </c>
      <c r="AB44">
        <v>2</v>
      </c>
      <c r="AC44">
        <v>8</v>
      </c>
      <c r="AD44">
        <v>3</v>
      </c>
      <c r="AE44">
        <v>8</v>
      </c>
      <c r="AF44">
        <v>3</v>
      </c>
      <c r="AG44">
        <v>5</v>
      </c>
      <c r="AH44">
        <v>2</v>
      </c>
      <c r="AI44">
        <v>5</v>
      </c>
      <c r="AJ44">
        <v>5</v>
      </c>
      <c r="AK44">
        <v>2</v>
      </c>
      <c r="AL44">
        <v>2</v>
      </c>
      <c r="AM44">
        <v>6</v>
      </c>
      <c r="AN44">
        <v>9</v>
      </c>
      <c r="AO44">
        <v>3</v>
      </c>
      <c r="AP44">
        <v>3</v>
      </c>
      <c r="AQ44">
        <v>6</v>
      </c>
      <c r="AR44">
        <v>8</v>
      </c>
      <c r="AS44">
        <v>6</v>
      </c>
      <c r="AT44">
        <v>3</v>
      </c>
      <c r="AU44">
        <v>4</v>
      </c>
      <c r="AV44">
        <v>2</v>
      </c>
      <c r="AW44">
        <v>5</v>
      </c>
      <c r="AX44">
        <v>2</v>
      </c>
      <c r="AY44">
        <v>5</v>
      </c>
      <c r="AZ44">
        <v>7</v>
      </c>
      <c r="BA44">
        <v>7</v>
      </c>
      <c r="BB44">
        <v>5</v>
      </c>
    </row>
    <row r="45" spans="2:54" x14ac:dyDescent="0.2">
      <c r="C45" t="s">
        <v>191</v>
      </c>
      <c r="D45" s="183">
        <v>0</v>
      </c>
      <c r="E45" s="189">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row>
    <row r="46" spans="2:54" x14ac:dyDescent="0.2">
      <c r="C46" t="s">
        <v>192</v>
      </c>
      <c r="D46" s="183">
        <v>0</v>
      </c>
      <c r="E46" s="189">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row>
    <row r="47" spans="2:54" x14ac:dyDescent="0.2">
      <c r="C47" t="s">
        <v>193</v>
      </c>
      <c r="D47" s="183">
        <v>0.06</v>
      </c>
      <c r="E47" s="189">
        <v>0</v>
      </c>
      <c r="F47">
        <v>0</v>
      </c>
      <c r="G47">
        <v>0</v>
      </c>
      <c r="H47">
        <v>0</v>
      </c>
      <c r="I47">
        <v>0</v>
      </c>
      <c r="J47">
        <v>0</v>
      </c>
      <c r="K47">
        <v>0</v>
      </c>
      <c r="L47">
        <v>1</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1</v>
      </c>
      <c r="AO47">
        <v>0</v>
      </c>
      <c r="AP47">
        <v>0</v>
      </c>
      <c r="AQ47">
        <v>0</v>
      </c>
      <c r="AR47">
        <v>1</v>
      </c>
      <c r="AS47">
        <v>0</v>
      </c>
      <c r="AT47">
        <v>0</v>
      </c>
      <c r="AU47">
        <v>0</v>
      </c>
      <c r="AV47">
        <v>0</v>
      </c>
      <c r="AW47">
        <v>0</v>
      </c>
      <c r="AX47">
        <v>0</v>
      </c>
      <c r="AY47">
        <v>0</v>
      </c>
      <c r="AZ47">
        <v>0</v>
      </c>
      <c r="BA47">
        <v>0</v>
      </c>
      <c r="BB47">
        <v>0</v>
      </c>
    </row>
    <row r="48" spans="2:54" x14ac:dyDescent="0.2">
      <c r="C48" t="s">
        <v>194</v>
      </c>
      <c r="D48" s="183">
        <v>1.06590250768109E-3</v>
      </c>
      <c r="E48" s="190">
        <v>0</v>
      </c>
      <c r="F48" s="183">
        <v>0</v>
      </c>
      <c r="G48" s="183">
        <v>0</v>
      </c>
      <c r="H48" s="183">
        <v>0</v>
      </c>
      <c r="I48" s="183">
        <v>0</v>
      </c>
      <c r="J48" s="183">
        <v>0</v>
      </c>
      <c r="K48" s="183">
        <v>0</v>
      </c>
      <c r="L48" s="183">
        <v>1.5449030190052445E-2</v>
      </c>
      <c r="M48" s="183">
        <v>0</v>
      </c>
      <c r="N48" s="183">
        <v>0</v>
      </c>
      <c r="O48" s="183">
        <v>0</v>
      </c>
      <c r="P48" s="183">
        <v>0</v>
      </c>
      <c r="Q48" s="183">
        <v>0</v>
      </c>
      <c r="R48" s="183">
        <v>0</v>
      </c>
      <c r="S48" s="183">
        <v>0</v>
      </c>
      <c r="T48" s="183">
        <v>0</v>
      </c>
      <c r="U48" s="183">
        <v>0</v>
      </c>
      <c r="V48" s="183">
        <v>0</v>
      </c>
      <c r="W48" s="183">
        <v>0</v>
      </c>
      <c r="X48" s="183">
        <v>0</v>
      </c>
      <c r="Y48" s="183">
        <v>0</v>
      </c>
      <c r="Z48" s="183">
        <v>0</v>
      </c>
      <c r="AA48" s="183">
        <v>0</v>
      </c>
      <c r="AB48" s="183">
        <v>0</v>
      </c>
      <c r="AC48" s="183">
        <v>0</v>
      </c>
      <c r="AD48" s="183">
        <v>0</v>
      </c>
      <c r="AE48" s="183">
        <v>0</v>
      </c>
      <c r="AF48" s="183">
        <v>0</v>
      </c>
      <c r="AG48" s="183">
        <v>0</v>
      </c>
      <c r="AH48" s="183">
        <v>0</v>
      </c>
      <c r="AI48" s="183">
        <v>0</v>
      </c>
      <c r="AJ48" s="183">
        <v>0</v>
      </c>
      <c r="AK48" s="183">
        <v>0</v>
      </c>
      <c r="AL48" s="183">
        <v>0</v>
      </c>
      <c r="AM48" s="183">
        <v>0</v>
      </c>
      <c r="AN48" s="183">
        <v>2.8243761670794971E-2</v>
      </c>
      <c r="AO48" s="183">
        <v>0</v>
      </c>
      <c r="AP48" s="183">
        <v>0</v>
      </c>
      <c r="AQ48" s="183">
        <v>0</v>
      </c>
      <c r="AR48" s="183">
        <v>9.6023335232070881E-3</v>
      </c>
      <c r="AS48" s="183">
        <v>0</v>
      </c>
      <c r="AT48" s="183">
        <v>0</v>
      </c>
      <c r="AU48" s="183">
        <v>0</v>
      </c>
      <c r="AV48" s="183">
        <v>0</v>
      </c>
      <c r="AW48" s="183">
        <v>0</v>
      </c>
      <c r="AX48" s="183">
        <v>0</v>
      </c>
      <c r="AY48" s="183">
        <v>0</v>
      </c>
      <c r="AZ48" s="183">
        <v>0</v>
      </c>
      <c r="BA48" s="183">
        <v>0</v>
      </c>
      <c r="BB48" s="183">
        <v>0</v>
      </c>
    </row>
    <row r="49" spans="1:54" ht="15" x14ac:dyDescent="0.25">
      <c r="C49" s="195" t="s">
        <v>195</v>
      </c>
      <c r="D49" s="183">
        <v>6.0188315571426079E-2</v>
      </c>
      <c r="E49" s="190">
        <v>0</v>
      </c>
      <c r="F49" s="183">
        <v>0</v>
      </c>
      <c r="G49" s="183">
        <v>0</v>
      </c>
      <c r="H49" s="183">
        <v>0</v>
      </c>
      <c r="I49" s="183">
        <v>0</v>
      </c>
      <c r="J49" s="183">
        <v>0</v>
      </c>
      <c r="K49" s="183">
        <v>0</v>
      </c>
      <c r="L49" s="183">
        <v>0.92694181140314669</v>
      </c>
      <c r="M49" s="183">
        <v>0</v>
      </c>
      <c r="N49" s="183">
        <v>0</v>
      </c>
      <c r="O49" s="183">
        <v>0</v>
      </c>
      <c r="P49" s="183">
        <v>0</v>
      </c>
      <c r="Q49" s="183">
        <v>0</v>
      </c>
      <c r="R49" s="183">
        <v>0</v>
      </c>
      <c r="S49" s="183">
        <v>0</v>
      </c>
      <c r="T49" s="183">
        <v>0</v>
      </c>
      <c r="U49" s="183">
        <v>0</v>
      </c>
      <c r="V49" s="183">
        <v>0</v>
      </c>
      <c r="W49" s="183">
        <v>0</v>
      </c>
      <c r="X49" s="183">
        <v>0</v>
      </c>
      <c r="Y49" s="183">
        <v>0</v>
      </c>
      <c r="Z49" s="183">
        <v>0</v>
      </c>
      <c r="AA49" s="183">
        <v>0</v>
      </c>
      <c r="AB49" s="183">
        <v>0</v>
      </c>
      <c r="AC49" s="183">
        <v>0</v>
      </c>
      <c r="AD49" s="183">
        <v>0</v>
      </c>
      <c r="AE49" s="183">
        <v>0</v>
      </c>
      <c r="AF49" s="183">
        <v>0</v>
      </c>
      <c r="AG49" s="183">
        <v>0</v>
      </c>
      <c r="AH49" s="183">
        <v>0</v>
      </c>
      <c r="AI49" s="183">
        <v>0</v>
      </c>
      <c r="AJ49" s="183">
        <v>0</v>
      </c>
      <c r="AK49" s="183">
        <v>0</v>
      </c>
      <c r="AL49" s="183">
        <v>0</v>
      </c>
      <c r="AM49" s="183">
        <v>0</v>
      </c>
      <c r="AN49" s="183">
        <v>1.5063339557757318</v>
      </c>
      <c r="AO49" s="183">
        <v>0</v>
      </c>
      <c r="AP49" s="183">
        <v>0</v>
      </c>
      <c r="AQ49" s="183">
        <v>0</v>
      </c>
      <c r="AR49" s="183">
        <v>0.57614001139242532</v>
      </c>
      <c r="AS49" s="183">
        <v>0</v>
      </c>
      <c r="AT49" s="183">
        <v>0</v>
      </c>
      <c r="AU49" s="183">
        <v>0</v>
      </c>
      <c r="AV49" s="183">
        <v>0</v>
      </c>
      <c r="AW49" s="183">
        <v>0</v>
      </c>
      <c r="AX49" s="183">
        <v>0</v>
      </c>
      <c r="AY49" s="183">
        <v>0</v>
      </c>
      <c r="AZ49" s="183">
        <v>0</v>
      </c>
      <c r="BA49" s="183">
        <v>0</v>
      </c>
      <c r="BB49" s="183">
        <v>0</v>
      </c>
    </row>
    <row r="50" spans="1:54" x14ac:dyDescent="0.2">
      <c r="E50" s="189"/>
    </row>
    <row r="51" spans="1:54" x14ac:dyDescent="0.2">
      <c r="B51" t="s">
        <v>176</v>
      </c>
      <c r="C51" t="s">
        <v>190</v>
      </c>
      <c r="D51" s="183">
        <v>0</v>
      </c>
      <c r="E51" s="189">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row>
    <row r="52" spans="1:54" x14ac:dyDescent="0.2">
      <c r="C52" t="s">
        <v>191</v>
      </c>
      <c r="D52" s="183">
        <v>4.7</v>
      </c>
      <c r="E52" s="189">
        <v>7</v>
      </c>
      <c r="F52">
        <v>4</v>
      </c>
      <c r="G52">
        <v>6</v>
      </c>
      <c r="H52">
        <v>5</v>
      </c>
      <c r="I52">
        <v>7</v>
      </c>
      <c r="J52">
        <v>4</v>
      </c>
      <c r="K52">
        <v>4</v>
      </c>
      <c r="L52">
        <v>8</v>
      </c>
      <c r="M52">
        <v>4</v>
      </c>
      <c r="N52">
        <v>4</v>
      </c>
      <c r="O52">
        <v>2</v>
      </c>
      <c r="P52">
        <v>4</v>
      </c>
      <c r="Q52">
        <v>1</v>
      </c>
      <c r="R52">
        <v>2</v>
      </c>
      <c r="S52">
        <v>4</v>
      </c>
      <c r="T52">
        <v>5</v>
      </c>
      <c r="U52">
        <v>6</v>
      </c>
      <c r="V52">
        <v>7</v>
      </c>
      <c r="W52">
        <v>3</v>
      </c>
      <c r="X52">
        <v>7</v>
      </c>
      <c r="Y52">
        <v>5</v>
      </c>
      <c r="Z52">
        <v>5</v>
      </c>
      <c r="AA52">
        <v>7</v>
      </c>
      <c r="AB52">
        <v>2</v>
      </c>
      <c r="AC52">
        <v>8</v>
      </c>
      <c r="AD52">
        <v>3</v>
      </c>
      <c r="AE52">
        <v>8</v>
      </c>
      <c r="AF52">
        <v>3</v>
      </c>
      <c r="AG52">
        <v>5</v>
      </c>
      <c r="AH52">
        <v>2</v>
      </c>
      <c r="AI52">
        <v>5</v>
      </c>
      <c r="AJ52">
        <v>5</v>
      </c>
      <c r="AK52">
        <v>2</v>
      </c>
      <c r="AL52">
        <v>2</v>
      </c>
      <c r="AM52">
        <v>6</v>
      </c>
      <c r="AN52">
        <v>9</v>
      </c>
      <c r="AO52">
        <v>3</v>
      </c>
      <c r="AP52">
        <v>3</v>
      </c>
      <c r="AQ52">
        <v>5</v>
      </c>
      <c r="AR52">
        <v>8</v>
      </c>
      <c r="AS52">
        <v>6</v>
      </c>
      <c r="AT52">
        <v>3</v>
      </c>
      <c r="AU52">
        <v>4</v>
      </c>
      <c r="AV52">
        <v>2</v>
      </c>
      <c r="AW52">
        <v>4</v>
      </c>
      <c r="AX52">
        <v>2</v>
      </c>
      <c r="AY52">
        <v>5</v>
      </c>
      <c r="AZ52">
        <v>7</v>
      </c>
      <c r="BA52">
        <v>7</v>
      </c>
      <c r="BB52">
        <v>5</v>
      </c>
    </row>
    <row r="53" spans="1:54" x14ac:dyDescent="0.2">
      <c r="C53" t="s">
        <v>192</v>
      </c>
      <c r="D53" s="183">
        <v>0</v>
      </c>
      <c r="E53" s="189">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row>
    <row r="54" spans="1:54" x14ac:dyDescent="0.2">
      <c r="C54" t="s">
        <v>193</v>
      </c>
      <c r="D54" s="183">
        <v>4.7</v>
      </c>
      <c r="E54" s="189">
        <v>7</v>
      </c>
      <c r="F54">
        <v>4</v>
      </c>
      <c r="G54">
        <v>6</v>
      </c>
      <c r="H54">
        <v>5</v>
      </c>
      <c r="I54">
        <v>7</v>
      </c>
      <c r="J54">
        <v>4</v>
      </c>
      <c r="K54">
        <v>4</v>
      </c>
      <c r="L54">
        <v>8</v>
      </c>
      <c r="M54">
        <v>4</v>
      </c>
      <c r="N54">
        <v>4</v>
      </c>
      <c r="O54">
        <v>2</v>
      </c>
      <c r="P54">
        <v>4</v>
      </c>
      <c r="Q54">
        <v>1</v>
      </c>
      <c r="R54">
        <v>2</v>
      </c>
      <c r="S54">
        <v>4</v>
      </c>
      <c r="T54">
        <v>5</v>
      </c>
      <c r="U54">
        <v>6</v>
      </c>
      <c r="V54">
        <v>7</v>
      </c>
      <c r="W54">
        <v>3</v>
      </c>
      <c r="X54">
        <v>7</v>
      </c>
      <c r="Y54">
        <v>5</v>
      </c>
      <c r="Z54">
        <v>5</v>
      </c>
      <c r="AA54">
        <v>7</v>
      </c>
      <c r="AB54">
        <v>2</v>
      </c>
      <c r="AC54">
        <v>8</v>
      </c>
      <c r="AD54">
        <v>3</v>
      </c>
      <c r="AE54">
        <v>8</v>
      </c>
      <c r="AF54">
        <v>3</v>
      </c>
      <c r="AG54">
        <v>5</v>
      </c>
      <c r="AH54">
        <v>2</v>
      </c>
      <c r="AI54">
        <v>5</v>
      </c>
      <c r="AJ54">
        <v>5</v>
      </c>
      <c r="AK54">
        <v>2</v>
      </c>
      <c r="AL54">
        <v>2</v>
      </c>
      <c r="AM54">
        <v>6</v>
      </c>
      <c r="AN54">
        <v>9</v>
      </c>
      <c r="AO54">
        <v>3</v>
      </c>
      <c r="AP54">
        <v>3</v>
      </c>
      <c r="AQ54">
        <v>5</v>
      </c>
      <c r="AR54">
        <v>8</v>
      </c>
      <c r="AS54">
        <v>6</v>
      </c>
      <c r="AT54">
        <v>3</v>
      </c>
      <c r="AU54">
        <v>4</v>
      </c>
      <c r="AV54">
        <v>2</v>
      </c>
      <c r="AW54">
        <v>4</v>
      </c>
      <c r="AX54">
        <v>2</v>
      </c>
      <c r="AY54">
        <v>5</v>
      </c>
      <c r="AZ54">
        <v>7</v>
      </c>
      <c r="BA54">
        <v>7</v>
      </c>
      <c r="BB54">
        <v>5</v>
      </c>
    </row>
    <row r="55" spans="1:54" x14ac:dyDescent="0.2">
      <c r="C55" t="s">
        <v>194</v>
      </c>
      <c r="D55" s="183">
        <v>2.3801765963289299</v>
      </c>
      <c r="E55" s="190">
        <v>3.5049625897743226</v>
      </c>
      <c r="F55" s="183">
        <v>1.7564831833988548</v>
      </c>
      <c r="G55" s="183">
        <v>4.2292915112278324</v>
      </c>
      <c r="H55" s="183">
        <v>2.1593025603062714</v>
      </c>
      <c r="I55" s="183">
        <v>4.2337297479895133</v>
      </c>
      <c r="J55" s="183">
        <v>1.7711754621877853</v>
      </c>
      <c r="K55" s="183">
        <v>2.3462166919476699</v>
      </c>
      <c r="L55" s="183">
        <v>4.1105148760671053</v>
      </c>
      <c r="M55" s="183">
        <v>2.3632538781652679</v>
      </c>
      <c r="N55" s="183">
        <v>1.6241063046069433</v>
      </c>
      <c r="O55" s="183">
        <v>1.5880604648725885</v>
      </c>
      <c r="P55" s="183">
        <v>2.5035707725343377</v>
      </c>
      <c r="Q55" s="183">
        <v>0.57458716840673707</v>
      </c>
      <c r="R55" s="183">
        <v>0.85601739127395249</v>
      </c>
      <c r="S55" s="183">
        <v>2.1976004912666167</v>
      </c>
      <c r="T55" s="183">
        <v>2.6221923081106926</v>
      </c>
      <c r="U55" s="183">
        <v>1.6574100234432017</v>
      </c>
      <c r="V55" s="183">
        <v>3.3504878450451838</v>
      </c>
      <c r="W55" s="183">
        <v>1.7229339409601441</v>
      </c>
      <c r="X55" s="183">
        <v>3.5934833250166105</v>
      </c>
      <c r="Y55" s="183">
        <v>3.1503457625257605</v>
      </c>
      <c r="Z55" s="183">
        <v>2.3786589769058462</v>
      </c>
      <c r="AA55" s="183">
        <v>3.8354994024483959</v>
      </c>
      <c r="AB55" s="183">
        <v>0.5616306500800351</v>
      </c>
      <c r="AC55" s="183">
        <v>3.7481972614663945</v>
      </c>
      <c r="AD55" s="183">
        <v>1.7341854976853912</v>
      </c>
      <c r="AE55" s="183">
        <v>4.7540667792558891</v>
      </c>
      <c r="AF55" s="183">
        <v>1.7402283870485291</v>
      </c>
      <c r="AG55" s="183">
        <v>3.8278151188944154</v>
      </c>
      <c r="AH55" s="183">
        <v>7.4465572914639108E-2</v>
      </c>
      <c r="AI55" s="183">
        <v>3.4240770402377638</v>
      </c>
      <c r="AJ55" s="183">
        <v>3.4200485855390572</v>
      </c>
      <c r="AK55" s="183">
        <v>0.54529676837400742</v>
      </c>
      <c r="AL55" s="183">
        <v>1.8811865045530689</v>
      </c>
      <c r="AM55" s="183">
        <v>3.8844222832373068</v>
      </c>
      <c r="AN55" s="183">
        <v>3.7874256604073064</v>
      </c>
      <c r="AO55" s="183">
        <v>1.7654123904455095</v>
      </c>
      <c r="AP55" s="183">
        <v>0.24224096790204422</v>
      </c>
      <c r="AQ55" s="183">
        <v>1.774566312525347</v>
      </c>
      <c r="AR55" s="183">
        <v>3.3006570263653106</v>
      </c>
      <c r="AS55" s="183">
        <v>3.5701884347046944</v>
      </c>
      <c r="AT55" s="183">
        <v>1.3023354596640373</v>
      </c>
      <c r="AU55" s="183">
        <v>2.3204477193456747</v>
      </c>
      <c r="AV55" s="183">
        <v>0.80778226151331678</v>
      </c>
      <c r="AW55" s="183">
        <v>1.8593209617235251</v>
      </c>
      <c r="AX55" s="183">
        <v>0.62882892745186714</v>
      </c>
      <c r="AY55" s="183">
        <v>2.2236026771960677</v>
      </c>
      <c r="AZ55" s="183">
        <v>3.5370380389866867</v>
      </c>
      <c r="BA55" s="183">
        <v>3.0869570686114205</v>
      </c>
      <c r="BB55" s="183">
        <v>1.0765207818355098</v>
      </c>
    </row>
    <row r="56" spans="1:54" x14ac:dyDescent="0.2">
      <c r="C56" t="s">
        <v>195</v>
      </c>
      <c r="D56" s="194" t="s">
        <v>199</v>
      </c>
      <c r="E56" s="191" t="s">
        <v>199</v>
      </c>
      <c r="F56" s="187" t="s">
        <v>199</v>
      </c>
      <c r="G56" s="187" t="s">
        <v>199</v>
      </c>
      <c r="H56" s="187" t="s">
        <v>199</v>
      </c>
      <c r="I56" s="187" t="s">
        <v>199</v>
      </c>
      <c r="J56" s="187" t="s">
        <v>199</v>
      </c>
      <c r="K56" s="187" t="s">
        <v>199</v>
      </c>
      <c r="L56" s="187" t="s">
        <v>199</v>
      </c>
      <c r="M56" s="187" t="s">
        <v>199</v>
      </c>
      <c r="N56" s="187" t="s">
        <v>199</v>
      </c>
      <c r="O56" s="187" t="s">
        <v>199</v>
      </c>
      <c r="P56" s="187" t="s">
        <v>199</v>
      </c>
      <c r="Q56" s="187" t="s">
        <v>199</v>
      </c>
      <c r="R56" s="187" t="s">
        <v>199</v>
      </c>
      <c r="S56" s="187" t="s">
        <v>199</v>
      </c>
      <c r="T56" s="187" t="s">
        <v>199</v>
      </c>
      <c r="U56" s="187" t="s">
        <v>199</v>
      </c>
      <c r="V56" s="187" t="s">
        <v>199</v>
      </c>
      <c r="W56" s="187" t="s">
        <v>199</v>
      </c>
      <c r="X56" s="187" t="s">
        <v>199</v>
      </c>
      <c r="Y56" s="187" t="s">
        <v>199</v>
      </c>
      <c r="Z56" s="187" t="s">
        <v>199</v>
      </c>
      <c r="AA56" s="187" t="s">
        <v>199</v>
      </c>
      <c r="AB56" s="187" t="s">
        <v>199</v>
      </c>
      <c r="AC56" s="187" t="s">
        <v>199</v>
      </c>
      <c r="AD56" s="187" t="s">
        <v>199</v>
      </c>
      <c r="AE56" s="187" t="s">
        <v>199</v>
      </c>
      <c r="AF56" s="187" t="s">
        <v>199</v>
      </c>
      <c r="AG56" s="187" t="s">
        <v>199</v>
      </c>
      <c r="AH56" s="187" t="s">
        <v>199</v>
      </c>
      <c r="AI56" s="187" t="s">
        <v>199</v>
      </c>
      <c r="AJ56" s="187" t="s">
        <v>199</v>
      </c>
      <c r="AK56" s="187" t="s">
        <v>199</v>
      </c>
      <c r="AL56" s="187" t="s">
        <v>199</v>
      </c>
      <c r="AM56" s="187" t="s">
        <v>199</v>
      </c>
      <c r="AN56" s="187" t="s">
        <v>199</v>
      </c>
      <c r="AO56" s="187" t="s">
        <v>199</v>
      </c>
      <c r="AP56" s="187" t="s">
        <v>199</v>
      </c>
      <c r="AQ56" s="187" t="s">
        <v>199</v>
      </c>
      <c r="AR56" s="187" t="s">
        <v>199</v>
      </c>
      <c r="AS56" s="187" t="s">
        <v>199</v>
      </c>
      <c r="AT56" s="187" t="s">
        <v>199</v>
      </c>
      <c r="AU56" s="187" t="s">
        <v>199</v>
      </c>
      <c r="AV56" s="187" t="s">
        <v>199</v>
      </c>
      <c r="AW56" s="187" t="s">
        <v>199</v>
      </c>
      <c r="AX56" s="187" t="s">
        <v>199</v>
      </c>
      <c r="AY56" s="187" t="s">
        <v>199</v>
      </c>
      <c r="AZ56" s="187" t="s">
        <v>199</v>
      </c>
      <c r="BA56" s="187" t="s">
        <v>199</v>
      </c>
      <c r="BB56" s="187" t="s">
        <v>199</v>
      </c>
    </row>
    <row r="57" spans="1:54" x14ac:dyDescent="0.2">
      <c r="E57" s="189"/>
    </row>
    <row r="58" spans="1:54" x14ac:dyDescent="0.2">
      <c r="A58" t="s">
        <v>196</v>
      </c>
      <c r="B58" t="s">
        <v>78</v>
      </c>
      <c r="C58" t="s">
        <v>190</v>
      </c>
      <c r="D58" s="183">
        <v>94.06</v>
      </c>
      <c r="E58" s="189">
        <v>93</v>
      </c>
      <c r="F58">
        <v>91</v>
      </c>
      <c r="G58">
        <v>91</v>
      </c>
      <c r="H58">
        <v>94</v>
      </c>
      <c r="I58">
        <v>96</v>
      </c>
      <c r="J58">
        <v>97</v>
      </c>
      <c r="K58">
        <v>95</v>
      </c>
      <c r="L58">
        <v>94</v>
      </c>
      <c r="M58">
        <v>93</v>
      </c>
      <c r="N58">
        <v>94</v>
      </c>
      <c r="O58">
        <v>94</v>
      </c>
      <c r="P58">
        <v>94</v>
      </c>
      <c r="Q58">
        <v>93</v>
      </c>
      <c r="R58">
        <v>92</v>
      </c>
      <c r="S58">
        <v>91</v>
      </c>
      <c r="T58">
        <v>97</v>
      </c>
      <c r="U58">
        <v>92</v>
      </c>
      <c r="V58">
        <v>97</v>
      </c>
      <c r="W58">
        <v>91</v>
      </c>
      <c r="X58">
        <v>94</v>
      </c>
      <c r="Y58">
        <v>93</v>
      </c>
      <c r="Z58">
        <v>90</v>
      </c>
      <c r="AA58">
        <v>94</v>
      </c>
      <c r="AB58">
        <v>95</v>
      </c>
      <c r="AC58">
        <v>93</v>
      </c>
      <c r="AD58">
        <v>96</v>
      </c>
      <c r="AE58">
        <v>93</v>
      </c>
      <c r="AF58">
        <v>94</v>
      </c>
      <c r="AG58">
        <v>93</v>
      </c>
      <c r="AH58">
        <v>95</v>
      </c>
      <c r="AI58">
        <v>97</v>
      </c>
      <c r="AJ58">
        <v>92</v>
      </c>
      <c r="AK58">
        <v>95</v>
      </c>
      <c r="AL58">
        <v>95</v>
      </c>
      <c r="AM58">
        <v>94</v>
      </c>
      <c r="AN58">
        <v>98</v>
      </c>
      <c r="AO58">
        <v>97</v>
      </c>
      <c r="AP58">
        <v>93</v>
      </c>
      <c r="AQ58">
        <v>96</v>
      </c>
      <c r="AR58">
        <v>96</v>
      </c>
      <c r="AS58">
        <v>96</v>
      </c>
      <c r="AT58">
        <v>94</v>
      </c>
      <c r="AU58">
        <v>92</v>
      </c>
      <c r="AV58">
        <v>92</v>
      </c>
      <c r="AW58">
        <v>94</v>
      </c>
      <c r="AX58">
        <v>96</v>
      </c>
      <c r="AY58">
        <v>97</v>
      </c>
      <c r="AZ58">
        <v>95</v>
      </c>
      <c r="BA58">
        <v>94</v>
      </c>
      <c r="BB58">
        <v>91</v>
      </c>
    </row>
    <row r="59" spans="1:54" x14ac:dyDescent="0.2">
      <c r="C59" t="s">
        <v>183</v>
      </c>
      <c r="D59" s="183">
        <v>0</v>
      </c>
      <c r="E59" s="18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row>
    <row r="60" spans="1:54" x14ac:dyDescent="0.2">
      <c r="C60" t="s">
        <v>184</v>
      </c>
      <c r="D60" s="183">
        <v>0</v>
      </c>
      <c r="E60" s="190">
        <v>0</v>
      </c>
      <c r="F60" s="183">
        <v>0</v>
      </c>
      <c r="G60" s="183">
        <v>0</v>
      </c>
      <c r="H60" s="183">
        <v>0</v>
      </c>
      <c r="I60" s="183">
        <v>0</v>
      </c>
      <c r="J60" s="183">
        <v>0</v>
      </c>
      <c r="K60" s="183">
        <v>0</v>
      </c>
      <c r="L60" s="183">
        <v>0</v>
      </c>
      <c r="M60" s="183">
        <v>0</v>
      </c>
      <c r="N60" s="183">
        <v>0</v>
      </c>
      <c r="O60" s="183">
        <v>0</v>
      </c>
      <c r="P60" s="183">
        <v>0</v>
      </c>
      <c r="Q60" s="183">
        <v>0</v>
      </c>
      <c r="R60" s="183">
        <v>0</v>
      </c>
      <c r="S60" s="183">
        <v>0</v>
      </c>
      <c r="T60" s="183">
        <v>0</v>
      </c>
      <c r="U60" s="183">
        <v>0</v>
      </c>
      <c r="V60" s="183">
        <v>0</v>
      </c>
      <c r="W60" s="183">
        <v>0</v>
      </c>
      <c r="X60" s="183">
        <v>0</v>
      </c>
      <c r="Y60" s="183">
        <v>0</v>
      </c>
      <c r="Z60" s="183">
        <v>0</v>
      </c>
      <c r="AA60" s="183">
        <v>0</v>
      </c>
      <c r="AB60" s="183">
        <v>0</v>
      </c>
      <c r="AC60" s="183">
        <v>0</v>
      </c>
      <c r="AD60" s="183">
        <v>0</v>
      </c>
      <c r="AE60" s="183">
        <v>0</v>
      </c>
      <c r="AF60" s="183">
        <v>0</v>
      </c>
      <c r="AG60" s="183">
        <v>0</v>
      </c>
      <c r="AH60" s="183">
        <v>0</v>
      </c>
      <c r="AI60" s="183">
        <v>0</v>
      </c>
      <c r="AJ60" s="183">
        <v>0</v>
      </c>
      <c r="AK60" s="183">
        <v>0</v>
      </c>
      <c r="AL60" s="183">
        <v>0</v>
      </c>
      <c r="AM60" s="183">
        <v>0</v>
      </c>
      <c r="AN60" s="183">
        <v>0</v>
      </c>
      <c r="AO60" s="183">
        <v>0</v>
      </c>
      <c r="AP60" s="183">
        <v>0</v>
      </c>
      <c r="AQ60" s="183">
        <v>0</v>
      </c>
      <c r="AR60" s="183">
        <v>0</v>
      </c>
      <c r="AS60" s="183">
        <v>0</v>
      </c>
      <c r="AT60" s="183">
        <v>0</v>
      </c>
      <c r="AU60" s="183">
        <v>0</v>
      </c>
      <c r="AV60" s="183">
        <v>0</v>
      </c>
      <c r="AW60" s="183">
        <v>0</v>
      </c>
      <c r="AX60" s="183">
        <v>0</v>
      </c>
      <c r="AY60" s="183">
        <v>0</v>
      </c>
      <c r="AZ60" s="183">
        <v>0</v>
      </c>
      <c r="BA60" s="183">
        <v>0</v>
      </c>
      <c r="BB60" s="183">
        <v>0</v>
      </c>
    </row>
    <row r="61" spans="1:54" x14ac:dyDescent="0.2">
      <c r="C61" t="s">
        <v>185</v>
      </c>
      <c r="D61" s="183">
        <v>0</v>
      </c>
      <c r="E61" s="190">
        <v>0</v>
      </c>
      <c r="F61" s="183">
        <v>0</v>
      </c>
      <c r="G61" s="183">
        <v>0</v>
      </c>
      <c r="H61" s="183">
        <v>0</v>
      </c>
      <c r="I61" s="183">
        <v>0</v>
      </c>
      <c r="J61" s="183">
        <v>0</v>
      </c>
      <c r="K61" s="183">
        <v>0</v>
      </c>
      <c r="L61" s="183">
        <v>0</v>
      </c>
      <c r="M61" s="183">
        <v>0</v>
      </c>
      <c r="N61" s="183">
        <v>0</v>
      </c>
      <c r="O61" s="183">
        <v>0</v>
      </c>
      <c r="P61" s="183">
        <v>0</v>
      </c>
      <c r="Q61" s="183">
        <v>0</v>
      </c>
      <c r="R61" s="183">
        <v>0</v>
      </c>
      <c r="S61" s="183">
        <v>0</v>
      </c>
      <c r="T61" s="183">
        <v>0</v>
      </c>
      <c r="U61" s="183">
        <v>0</v>
      </c>
      <c r="V61" s="183">
        <v>0</v>
      </c>
      <c r="W61" s="183">
        <v>0</v>
      </c>
      <c r="X61" s="183">
        <v>0</v>
      </c>
      <c r="Y61" s="183">
        <v>0</v>
      </c>
      <c r="Z61" s="183">
        <v>0</v>
      </c>
      <c r="AA61" s="183">
        <v>0</v>
      </c>
      <c r="AB61" s="183">
        <v>0</v>
      </c>
      <c r="AC61" s="183">
        <v>0</v>
      </c>
      <c r="AD61" s="183">
        <v>0</v>
      </c>
      <c r="AE61" s="183">
        <v>0</v>
      </c>
      <c r="AF61" s="183">
        <v>0</v>
      </c>
      <c r="AG61" s="183">
        <v>0</v>
      </c>
      <c r="AH61" s="183">
        <v>0</v>
      </c>
      <c r="AI61" s="183">
        <v>0</v>
      </c>
      <c r="AJ61" s="183">
        <v>0</v>
      </c>
      <c r="AK61" s="183">
        <v>0</v>
      </c>
      <c r="AL61" s="183">
        <v>0</v>
      </c>
      <c r="AM61" s="183">
        <v>0</v>
      </c>
      <c r="AN61" s="183">
        <v>0</v>
      </c>
      <c r="AO61" s="183">
        <v>0</v>
      </c>
      <c r="AP61" s="183">
        <v>0</v>
      </c>
      <c r="AQ61" s="183">
        <v>0</v>
      </c>
      <c r="AR61" s="183">
        <v>0</v>
      </c>
      <c r="AS61" s="183">
        <v>0</v>
      </c>
      <c r="AT61" s="183">
        <v>0</v>
      </c>
      <c r="AU61" s="183">
        <v>0</v>
      </c>
      <c r="AV61" s="183">
        <v>0</v>
      </c>
      <c r="AW61" s="183">
        <v>0</v>
      </c>
      <c r="AX61" s="183">
        <v>0</v>
      </c>
      <c r="AY61" s="183">
        <v>0</v>
      </c>
      <c r="AZ61" s="183">
        <v>0</v>
      </c>
      <c r="BA61" s="183">
        <v>0</v>
      </c>
      <c r="BB61" s="183">
        <v>0</v>
      </c>
    </row>
    <row r="62" spans="1:54" x14ac:dyDescent="0.2">
      <c r="E62" s="189"/>
    </row>
    <row r="63" spans="1:54" x14ac:dyDescent="0.2">
      <c r="E63" s="189"/>
    </row>
    <row r="64" spans="1:54" x14ac:dyDescent="0.2">
      <c r="E64" s="189"/>
    </row>
    <row r="65" spans="5:5" x14ac:dyDescent="0.2">
      <c r="E65" s="1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174</v>
      </c>
    </row>
    <row r="4" spans="2:2" x14ac:dyDescent="0.2">
      <c r="B4" t="s">
        <v>173</v>
      </c>
    </row>
    <row r="5" spans="2:2" x14ac:dyDescent="0.2">
      <c r="B5" t="s">
        <v>154</v>
      </c>
    </row>
    <row r="6" spans="2:2" x14ac:dyDescent="0.2">
      <c r="B6" t="s">
        <v>153</v>
      </c>
    </row>
    <row r="7" spans="2:2" x14ac:dyDescent="0.2">
      <c r="B7" t="s">
        <v>152</v>
      </c>
    </row>
    <row r="8" spans="2:2" x14ac:dyDescent="0.2">
      <c r="B8" t="s">
        <v>93</v>
      </c>
    </row>
    <row r="9" spans="2:2" x14ac:dyDescent="0.2">
      <c r="B9" t="s">
        <v>92</v>
      </c>
    </row>
    <row r="10" spans="2:2" x14ac:dyDescent="0.2">
      <c r="B10" t="s">
        <v>55</v>
      </c>
    </row>
  </sheetData>
  <sortState caseSensitive="1" ref="B3:B4">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172</v>
      </c>
      <c r="C7" t="s">
        <v>156</v>
      </c>
      <c r="D7">
        <v>4</v>
      </c>
      <c r="E7">
        <v>50</v>
      </c>
      <c r="F7">
        <v>1</v>
      </c>
    </row>
    <row r="8" spans="1:6" x14ac:dyDescent="0.2">
      <c r="A8">
        <v>2</v>
      </c>
      <c r="B8" t="s">
        <v>177</v>
      </c>
      <c r="C8" t="s">
        <v>156</v>
      </c>
      <c r="D8">
        <v>9</v>
      </c>
      <c r="E8">
        <v>50</v>
      </c>
      <c r="F8">
        <v>2</v>
      </c>
    </row>
    <row r="9" spans="1:6" x14ac:dyDescent="0.2">
      <c r="A9">
        <v>3</v>
      </c>
      <c r="B9" t="s">
        <v>175</v>
      </c>
      <c r="C9" t="s">
        <v>156</v>
      </c>
      <c r="D9">
        <v>14</v>
      </c>
      <c r="E9">
        <v>50</v>
      </c>
      <c r="F9">
        <v>3</v>
      </c>
    </row>
    <row r="10" spans="1:6" x14ac:dyDescent="0.2">
      <c r="A10">
        <v>4</v>
      </c>
      <c r="B10" t="s">
        <v>171</v>
      </c>
      <c r="C10" t="s">
        <v>95</v>
      </c>
      <c r="D10">
        <v>3</v>
      </c>
      <c r="E10">
        <v>50</v>
      </c>
      <c r="F10">
        <v>4</v>
      </c>
    </row>
    <row r="11" spans="1:6" x14ac:dyDescent="0.2">
      <c r="A11">
        <v>5</v>
      </c>
      <c r="B11" t="s">
        <v>173</v>
      </c>
      <c r="C11" t="s">
        <v>95</v>
      </c>
      <c r="D11">
        <v>6</v>
      </c>
      <c r="E11">
        <v>50</v>
      </c>
      <c r="F11">
        <v>5</v>
      </c>
    </row>
    <row r="12" spans="1:6" x14ac:dyDescent="0.2">
      <c r="A12">
        <v>6</v>
      </c>
      <c r="B12" t="s">
        <v>174</v>
      </c>
      <c r="C12" t="s">
        <v>95</v>
      </c>
      <c r="D12">
        <v>9</v>
      </c>
      <c r="E12">
        <v>50</v>
      </c>
      <c r="F12">
        <v>6</v>
      </c>
    </row>
    <row r="13" spans="1:6" x14ac:dyDescent="0.2">
      <c r="A13">
        <v>7</v>
      </c>
      <c r="B13" t="s">
        <v>176</v>
      </c>
      <c r="C13" t="s">
        <v>95</v>
      </c>
      <c r="D13">
        <v>12</v>
      </c>
      <c r="E13">
        <v>50</v>
      </c>
      <c r="F13">
        <v>7</v>
      </c>
    </row>
    <row r="14" spans="1:6" x14ac:dyDescent="0.2">
      <c r="A14">
        <v>8</v>
      </c>
      <c r="B14" t="s">
        <v>78</v>
      </c>
      <c r="C14" t="s">
        <v>167</v>
      </c>
      <c r="D14">
        <v>3</v>
      </c>
      <c r="E14">
        <v>50</v>
      </c>
      <c r="F14">
        <v>8</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14">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209"/>
  <sheetViews>
    <sheetView workbookViewId="0">
      <selection activeCell="D5" sqref="D5"/>
    </sheetView>
  </sheetViews>
  <sheetFormatPr defaultRowHeight="12.75" x14ac:dyDescent="0.2"/>
  <cols>
    <col min="1" max="1" width="7.28515625" customWidth="1"/>
    <col min="2" max="6" width="8.7109375" customWidth="1"/>
    <col min="7" max="7" width="5.5703125" customWidth="1"/>
  </cols>
  <sheetData>
    <row r="1" spans="1:220" ht="18" x14ac:dyDescent="0.25">
      <c r="A1" s="1" t="s">
        <v>120</v>
      </c>
    </row>
    <row r="2" spans="1:220" x14ac:dyDescent="0.2">
      <c r="B2" s="89"/>
    </row>
    <row r="3" spans="1:220" ht="16.5" thickBot="1" x14ac:dyDescent="0.3">
      <c r="A3" s="130"/>
      <c r="B3" s="89"/>
    </row>
    <row r="4" spans="1:220" ht="16.5" thickBot="1" x14ac:dyDescent="0.3">
      <c r="A4" s="130" t="s">
        <v>162</v>
      </c>
      <c r="D4" s="151"/>
    </row>
    <row r="6" spans="1:220" s="130" customFormat="1" ht="15.75" x14ac:dyDescent="0.25">
      <c r="A6" s="149"/>
      <c r="B6" s="130" t="s">
        <v>163</v>
      </c>
      <c r="C6"/>
    </row>
    <row r="7" spans="1:220" s="130" customFormat="1" ht="15.75" x14ac:dyDescent="0.25">
      <c r="A7" s="149"/>
    </row>
    <row r="8" spans="1:220" s="130" customFormat="1" ht="15.75" x14ac:dyDescent="0.25">
      <c r="A8" s="149"/>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86" t="s">
        <v>119</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row r="110" spans="1:1" x14ac:dyDescent="0.2">
      <c r="A110" s="164"/>
    </row>
    <row r="111" spans="1:1" x14ac:dyDescent="0.2">
      <c r="A111" s="164"/>
    </row>
    <row r="112" spans="1:1" x14ac:dyDescent="0.2">
      <c r="A112" s="164"/>
    </row>
    <row r="113" spans="1:1" x14ac:dyDescent="0.2">
      <c r="A113" s="164"/>
    </row>
    <row r="114" spans="1:1" x14ac:dyDescent="0.2">
      <c r="A114" s="164"/>
    </row>
    <row r="115" spans="1:1" x14ac:dyDescent="0.2">
      <c r="A115" s="164"/>
    </row>
    <row r="116" spans="1:1" x14ac:dyDescent="0.2">
      <c r="A116" s="164"/>
    </row>
    <row r="117" spans="1:1" x14ac:dyDescent="0.2">
      <c r="A117" s="164"/>
    </row>
    <row r="118" spans="1:1" x14ac:dyDescent="0.2">
      <c r="A118" s="164"/>
    </row>
    <row r="119" spans="1:1" x14ac:dyDescent="0.2">
      <c r="A119" s="164"/>
    </row>
    <row r="120" spans="1:1" x14ac:dyDescent="0.2">
      <c r="A120" s="164"/>
    </row>
    <row r="121" spans="1:1" x14ac:dyDescent="0.2">
      <c r="A121" s="164"/>
    </row>
    <row r="122" spans="1:1" x14ac:dyDescent="0.2">
      <c r="A122" s="164"/>
    </row>
    <row r="123" spans="1:1" x14ac:dyDescent="0.2">
      <c r="A123" s="164"/>
    </row>
    <row r="124" spans="1:1" x14ac:dyDescent="0.2">
      <c r="A124" s="164"/>
    </row>
    <row r="125" spans="1:1" x14ac:dyDescent="0.2">
      <c r="A125" s="164"/>
    </row>
    <row r="126" spans="1:1" x14ac:dyDescent="0.2">
      <c r="A126" s="164"/>
    </row>
    <row r="127" spans="1:1" x14ac:dyDescent="0.2">
      <c r="A127" s="164"/>
    </row>
    <row r="128" spans="1:1" x14ac:dyDescent="0.2">
      <c r="A128" s="164"/>
    </row>
    <row r="129" spans="1:1" x14ac:dyDescent="0.2">
      <c r="A129" s="164"/>
    </row>
    <row r="130" spans="1:1" x14ac:dyDescent="0.2">
      <c r="A130" s="164"/>
    </row>
    <row r="131" spans="1:1" x14ac:dyDescent="0.2">
      <c r="A131" s="164"/>
    </row>
    <row r="132" spans="1:1" x14ac:dyDescent="0.2">
      <c r="A132" s="164"/>
    </row>
    <row r="133" spans="1:1" x14ac:dyDescent="0.2">
      <c r="A133" s="164"/>
    </row>
    <row r="134" spans="1:1" x14ac:dyDescent="0.2">
      <c r="A134" s="164"/>
    </row>
    <row r="135" spans="1:1" x14ac:dyDescent="0.2">
      <c r="A135" s="164"/>
    </row>
    <row r="136" spans="1:1" x14ac:dyDescent="0.2">
      <c r="A136" s="164"/>
    </row>
    <row r="137" spans="1:1" x14ac:dyDescent="0.2">
      <c r="A137" s="164"/>
    </row>
    <row r="138" spans="1:1" x14ac:dyDescent="0.2">
      <c r="A138" s="164"/>
    </row>
    <row r="139" spans="1:1" x14ac:dyDescent="0.2">
      <c r="A139" s="164"/>
    </row>
    <row r="140" spans="1:1" x14ac:dyDescent="0.2">
      <c r="A140" s="164"/>
    </row>
    <row r="141" spans="1:1" x14ac:dyDescent="0.2">
      <c r="A141" s="164"/>
    </row>
    <row r="142" spans="1:1" x14ac:dyDescent="0.2">
      <c r="A142" s="164"/>
    </row>
    <row r="143" spans="1:1" x14ac:dyDescent="0.2">
      <c r="A143" s="164"/>
    </row>
    <row r="144" spans="1:1" x14ac:dyDescent="0.2">
      <c r="A144" s="164"/>
    </row>
    <row r="145" spans="1:1" x14ac:dyDescent="0.2">
      <c r="A145" s="164"/>
    </row>
    <row r="146" spans="1:1" x14ac:dyDescent="0.2">
      <c r="A146" s="164"/>
    </row>
    <row r="147" spans="1:1" x14ac:dyDescent="0.2">
      <c r="A147" s="164"/>
    </row>
    <row r="148" spans="1:1" x14ac:dyDescent="0.2">
      <c r="A148" s="164"/>
    </row>
    <row r="149" spans="1:1" x14ac:dyDescent="0.2">
      <c r="A149" s="164"/>
    </row>
    <row r="150" spans="1:1" x14ac:dyDescent="0.2">
      <c r="A150" s="164"/>
    </row>
    <row r="151" spans="1:1" x14ac:dyDescent="0.2">
      <c r="A151" s="164"/>
    </row>
    <row r="152" spans="1:1" x14ac:dyDescent="0.2">
      <c r="A152" s="164"/>
    </row>
    <row r="153" spans="1:1" x14ac:dyDescent="0.2">
      <c r="A153" s="164"/>
    </row>
    <row r="154" spans="1:1" x14ac:dyDescent="0.2">
      <c r="A154" s="164"/>
    </row>
    <row r="155" spans="1:1" x14ac:dyDescent="0.2">
      <c r="A155" s="164"/>
    </row>
    <row r="156" spans="1:1" x14ac:dyDescent="0.2">
      <c r="A156" s="164"/>
    </row>
    <row r="157" spans="1:1" x14ac:dyDescent="0.2">
      <c r="A157" s="164"/>
    </row>
    <row r="158" spans="1:1" x14ac:dyDescent="0.2">
      <c r="A158" s="164"/>
    </row>
    <row r="159" spans="1:1" x14ac:dyDescent="0.2">
      <c r="A159" s="164"/>
    </row>
    <row r="160" spans="1:1" x14ac:dyDescent="0.2">
      <c r="A160" s="164"/>
    </row>
    <row r="161" spans="1:1" x14ac:dyDescent="0.2">
      <c r="A161" s="164"/>
    </row>
    <row r="162" spans="1:1" x14ac:dyDescent="0.2">
      <c r="A162" s="164"/>
    </row>
    <row r="163" spans="1:1" x14ac:dyDescent="0.2">
      <c r="A163" s="164"/>
    </row>
    <row r="164" spans="1:1" x14ac:dyDescent="0.2">
      <c r="A164" s="164"/>
    </row>
    <row r="165" spans="1:1" x14ac:dyDescent="0.2">
      <c r="A165" s="164"/>
    </row>
    <row r="166" spans="1:1" x14ac:dyDescent="0.2">
      <c r="A166" s="164"/>
    </row>
    <row r="167" spans="1:1" x14ac:dyDescent="0.2">
      <c r="A167" s="164"/>
    </row>
    <row r="168" spans="1:1" x14ac:dyDescent="0.2">
      <c r="A168" s="164"/>
    </row>
    <row r="169" spans="1:1" x14ac:dyDescent="0.2">
      <c r="A169" s="164"/>
    </row>
    <row r="170" spans="1:1" x14ac:dyDescent="0.2">
      <c r="A170" s="164"/>
    </row>
    <row r="171" spans="1:1" x14ac:dyDescent="0.2">
      <c r="A171" s="164"/>
    </row>
    <row r="172" spans="1:1" x14ac:dyDescent="0.2">
      <c r="A172" s="164"/>
    </row>
    <row r="173" spans="1:1" x14ac:dyDescent="0.2">
      <c r="A173" s="164"/>
    </row>
    <row r="174" spans="1:1" x14ac:dyDescent="0.2">
      <c r="A174" s="164"/>
    </row>
    <row r="175" spans="1:1" x14ac:dyDescent="0.2">
      <c r="A175" s="164"/>
    </row>
    <row r="176" spans="1:1" x14ac:dyDescent="0.2">
      <c r="A176" s="164"/>
    </row>
    <row r="177" spans="1:1" x14ac:dyDescent="0.2">
      <c r="A177" s="164"/>
    </row>
    <row r="178" spans="1:1" x14ac:dyDescent="0.2">
      <c r="A178" s="164"/>
    </row>
    <row r="179" spans="1:1" x14ac:dyDescent="0.2">
      <c r="A179" s="164"/>
    </row>
    <row r="180" spans="1:1" x14ac:dyDescent="0.2">
      <c r="A180" s="164"/>
    </row>
    <row r="181" spans="1:1" x14ac:dyDescent="0.2">
      <c r="A181" s="164"/>
    </row>
    <row r="182" spans="1:1" x14ac:dyDescent="0.2">
      <c r="A182" s="164"/>
    </row>
    <row r="183" spans="1:1" x14ac:dyDescent="0.2">
      <c r="A183" s="164"/>
    </row>
    <row r="184" spans="1:1" x14ac:dyDescent="0.2">
      <c r="A184" s="164"/>
    </row>
    <row r="185" spans="1:1" x14ac:dyDescent="0.2">
      <c r="A185" s="164"/>
    </row>
    <row r="186" spans="1:1" x14ac:dyDescent="0.2">
      <c r="A186" s="164"/>
    </row>
    <row r="187" spans="1:1" x14ac:dyDescent="0.2">
      <c r="A187" s="164"/>
    </row>
    <row r="188" spans="1:1" x14ac:dyDescent="0.2">
      <c r="A188" s="164"/>
    </row>
    <row r="189" spans="1:1" x14ac:dyDescent="0.2">
      <c r="A189" s="164"/>
    </row>
    <row r="190" spans="1:1" x14ac:dyDescent="0.2">
      <c r="A190" s="164"/>
    </row>
    <row r="191" spans="1:1" x14ac:dyDescent="0.2">
      <c r="A191" s="164"/>
    </row>
    <row r="192" spans="1:1" x14ac:dyDescent="0.2">
      <c r="A192" s="164"/>
    </row>
    <row r="193" spans="1:1" x14ac:dyDescent="0.2">
      <c r="A193" s="164"/>
    </row>
    <row r="194" spans="1:1" x14ac:dyDescent="0.2">
      <c r="A194" s="164"/>
    </row>
    <row r="195" spans="1:1" x14ac:dyDescent="0.2">
      <c r="A195" s="164"/>
    </row>
    <row r="196" spans="1:1" x14ac:dyDescent="0.2">
      <c r="A196" s="164"/>
    </row>
    <row r="197" spans="1:1" x14ac:dyDescent="0.2">
      <c r="A197" s="164"/>
    </row>
    <row r="198" spans="1:1" x14ac:dyDescent="0.2">
      <c r="A198" s="164"/>
    </row>
    <row r="199" spans="1:1" x14ac:dyDescent="0.2">
      <c r="A199" s="164"/>
    </row>
    <row r="200" spans="1:1" x14ac:dyDescent="0.2">
      <c r="A200" s="164"/>
    </row>
    <row r="201" spans="1:1" x14ac:dyDescent="0.2">
      <c r="A201" s="164"/>
    </row>
    <row r="202" spans="1:1" x14ac:dyDescent="0.2">
      <c r="A202" s="164"/>
    </row>
    <row r="203" spans="1:1" x14ac:dyDescent="0.2">
      <c r="A203" s="164"/>
    </row>
    <row r="204" spans="1:1" x14ac:dyDescent="0.2">
      <c r="A204" s="164"/>
    </row>
    <row r="205" spans="1:1" x14ac:dyDescent="0.2">
      <c r="A205" s="164"/>
    </row>
    <row r="206" spans="1:1" x14ac:dyDescent="0.2">
      <c r="A206" s="164"/>
    </row>
    <row r="207" spans="1:1" x14ac:dyDescent="0.2">
      <c r="A207" s="164"/>
    </row>
    <row r="208" spans="1:1" x14ac:dyDescent="0.2">
      <c r="A208" s="164"/>
    </row>
    <row r="209" spans="1:1" x14ac:dyDescent="0.2">
      <c r="A209" s="16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Seth Berry</cp:lastModifiedBy>
  <cp:lastPrinted>2003-03-27T18:40:25Z</cp:lastPrinted>
  <dcterms:created xsi:type="dcterms:W3CDTF">2000-07-26T14:58:13Z</dcterms:created>
  <dcterms:modified xsi:type="dcterms:W3CDTF">2017-11-17T14:02:29Z</dcterms:modified>
</cp:coreProperties>
</file>